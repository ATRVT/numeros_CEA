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Diario" sheetId="1" r:id="rId1"/>
    <sheet name="Colegiaturas" sheetId="2" r:id="rId2"/>
    <sheet name="Nóminas" sheetId="3" r:id="rId3"/>
    <sheet name="Conciliación" sheetId="4" r:id="rId4"/>
    <sheet name="Panel V2" sheetId="5" r:id="rId5"/>
    <sheet name="Presupuesto 2027" sheetId="6" r:id="rId6"/>
    <sheet name="Config" sheetId="7" r:id="rId7"/>
  </sheet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;[Red]-#,##0.00;0.00"/>
    <numFmt numFmtId="165" formatCode="0.0%"/>
  </numFmts>
  <fonts count="7">
    <font>
      <sz val="10"/>
      <color rgb="FF1E293B"/>
      <name val="Calibri"/>
    </font>
    <font>
      <b/>
      <sz val="10"/>
      <color rgb="FFFFFFFF"/>
      <name val="Calibri"/>
    </font>
    <font>
      <b/>
      <sz val="10"/>
      <color rgb="FF1E293B"/>
      <name val="Calibri"/>
    </font>
    <font>
      <b/>
      <sz val="10"/>
      <color rgb="FF92400E"/>
      <name val="Calibri"/>
    </font>
    <font>
      <b/>
      <sz val="10"/>
      <color rgb="FF065F46"/>
      <name val="Calibri"/>
    </font>
    <font>
      <b/>
      <sz val="12"/>
      <color rgb="FF385DA9"/>
      <name val="Calibri"/>
    </font>
    <font>
      <b/>
      <sz val="10"/>
      <color rgb="FFC4331C"/>
      <name val="Calibri"/>
    </font>
  </fonts>
  <fills count="8">
    <fill>
      <patternFill patternType="none"/>
    </fill>
    <fill>
      <patternFill patternType="gray125"/>
    </fill>
    <fill>
      <patternFill patternType="solid">
        <fgColor rgb="FF385DA9"/>
        <bgColor indexed="64"/>
      </patternFill>
    </fill>
    <fill>
      <patternFill patternType="solid">
        <fgColor rgb="FFFFF8EC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DF2F0"/>
        <bgColor indexed="64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12">
    <xf numFmtId="0" fontId="0" fillId="0" borderId="1" xfId="0" applyFont="1" applyBorder="1"/>
    <xf numFmtId="0" fontId="1" fillId="2" borderId="1" xfId="0" applyFont="1" applyFill="1" applyBorder="1"/>
    <xf numFmtId="164" fontId="0" fillId="0" borderId="1" xfId="0" applyNumberFormat="1" applyFont="1" applyBorder="1"/>
    <xf numFmtId="164" fontId="2" fillId="0" borderId="1" xfId="0" applyNumberFormat="1" applyFont="1" applyBorder="1"/>
    <xf numFmtId="0" fontId="3" fillId="3" borderId="1" xfId="0" applyFont="1" applyFill="1" applyBorder="1"/>
    <xf numFmtId="164" fontId="4" fillId="4" borderId="1" xfId="0" applyNumberFormat="1" applyFont="1" applyFill="1" applyBorder="1"/>
    <xf numFmtId="0" fontId="4" fillId="4" borderId="1" xfId="0" applyFont="1" applyFill="1" applyBorder="1"/>
    <xf numFmtId="164" fontId="3" fillId="5" borderId="1" xfId="0" applyNumberFormat="1" applyFont="1" applyFill="1" applyBorder="1"/>
    <xf numFmtId="165" fontId="0" fillId="0" borderId="1" xfId="0" applyNumberFormat="1" applyFont="1" applyBorder="1"/>
    <xf numFmtId="0" fontId="5" fillId="0" borderId="0" xfId="0" applyFont="1"/>
    <xf numFmtId="0" fontId="2" fillId="6" borderId="1" xfId="0" applyFont="1" applyFill="1" applyBorder="1"/>
    <xf numFmtId="164" fontId="6" fillId="7" borderId="1" xfId="0" applyNumberFormat="1" applyFont="1" applyFill="1" applyBorder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4" customWidth="1"/>
    <col min="2" max="2" width="12" customWidth="1"/>
    <col min="3" max="3" width="12" customWidth="1"/>
    <col min="4" max="4" width="46" customWidth="1"/>
    <col min="5" max="5" width="34" customWidth="1"/>
    <col min="6" max="6" width="18" customWidth="1"/>
    <col min="7" max="7" width="15" customWidth="1"/>
    <col min="8" max="8" width="13" customWidth="1"/>
    <col min="9" max="9" width="15" customWidth="1"/>
    <col min="10" max="10" width="16" customWidth="1"/>
    <col min="11" max="11" width="20" customWidth="1"/>
    <col min="12" max="12" width="20" customWidth="1"/>
    <col min="13" max="13" width="18" customWidth="1"/>
    <col min="14" max="14" width="22" customWidth="1"/>
    <col min="15" max="15" width="56" customWidth="1"/>
  </cols>
  <sheetData>
    <row r="1" ht="22" customHeight="1">
      <c r="A1" t="inlineStr" s="1">
        <is>
          <t>ID Asiento</t>
        </is>
      </c>
      <c r="B1" t="inlineStr" s="1">
        <is>
          <t>Fecha</t>
        </is>
      </c>
      <c r="C1" t="inlineStr" s="1">
        <is>
          <t>Mes</t>
        </is>
      </c>
      <c r="D1" t="inlineStr" s="1">
        <is>
          <t>Descripción</t>
        </is>
      </c>
      <c r="E1" t="inlineStr" s="1">
        <is>
          <t>Cuenta Contable SAT</t>
        </is>
      </c>
      <c r="F1" t="inlineStr" s="1">
        <is>
          <t>Tipo Movimiento</t>
        </is>
      </c>
      <c r="G1" t="inlineStr" s="1">
        <is>
          <t>Monto Bruto (Q)</t>
        </is>
      </c>
      <c r="H1" t="inlineStr" s="1">
        <is>
          <t>IVA (Q)</t>
        </is>
      </c>
      <c r="I1" t="inlineStr" s="1">
        <is>
          <t>Monto Neto (Q)</t>
        </is>
      </c>
      <c r="J1" t="inlineStr" s="1">
        <is>
          <t>Cuenta Bancaria</t>
        </is>
      </c>
      <c r="K1" t="inlineStr" s="1">
        <is>
          <t>Saldo BI-Monetaria (Q)</t>
        </is>
      </c>
      <c r="L1" t="inlineStr" s="1">
        <is>
          <t>Saldo BI-Ahorro (Q)</t>
        </is>
      </c>
      <c r="M1" t="inlineStr" s="1">
        <is>
          <t>No. Docto Banco / FEL</t>
        </is>
      </c>
      <c r="N1" t="inlineStr" s="1">
        <is>
          <t>Centro de Costo</t>
        </is>
      </c>
      <c r="O1" t="inlineStr" s="1">
        <is>
          <t>Nota de Auditoría y Conciliación BI</t>
        </is>
      </c>
    </row>
    <row r="2">
      <c r="A2" t="inlineStr" s="0">
        <is>
          <t>ALT-26-001</t>
        </is>
      </c>
      <c r="B2" t="inlineStr" s="0">
        <is>
          <t>2026-01-15</t>
        </is>
      </c>
      <c r="C2" t="inlineStr" s="0">
        <is>
          <t>enero</t>
        </is>
      </c>
      <c r="D2" t="inlineStr" s="0">
        <is>
          <t>Apertura de cuenta</t>
        </is>
      </c>
      <c r="E2" t="inlineStr" s="0">
        <is>
          <t>1101 - Banco Operativo</t>
        </is>
      </c>
      <c r="F2" t="str" s="0">
        <f>IF(E2="","",IFERROR(VLOOKUP(E2,Config!$F$2:$G$60,2,FALSE),"Gasto"))</f>
        <v>Activo</v>
      </c>
      <c r="G2" s="2">
        <v>1000.0</v>
      </c>
      <c r="H2" s="2">
        <f>IF(G2="","",IF(IFERROR(VLOOKUP(E2,Config!$F$2:$H$60,3,FALSE),"Exento")="Afecto",ROUND(G2-(G2/1.12),2),0))</f>
        <v>0.0</v>
      </c>
      <c r="I2" s="2">
        <f>IF(G2="","",ROUND(G2-H2,2))</f>
        <v>1000.0</v>
      </c>
      <c r="J2" t="inlineStr" s="0">
        <is>
          <t>BI- Monetaria</t>
        </is>
      </c>
      <c r="K2" s="3">
        <f>IF(G2="","",ROUND(IF(J2="BI-Ahorro",0,IF(F2="Gasto",-G2,G2)),2))</f>
        <v>1000.0</v>
      </c>
      <c r="L2" s="2">
        <f>IF(G2="","",ROUND(IF(LEFT(E2,4)="2102",G2,IF(J2="BI-Ahorro",-G2,0)),2))</f>
        <v>0.0</v>
      </c>
      <c r="M2" t="inlineStr" s="0">
        <is>
          <t>AUT-20260115-001</t>
        </is>
      </c>
      <c r="N2" t="inlineStr" s="0">
        <is>
          <t>00-Administración</t>
        </is>
      </c>
      <c r="O2" t="inlineStr" s="0">
        <is>
          <t/>
        </is>
      </c>
    </row>
    <row r="3">
      <c r="A3" t="inlineStr" s="0">
        <is>
          <t>ALT-26-002</t>
        </is>
      </c>
      <c r="B3" t="inlineStr" s="0">
        <is>
          <t>2026-01-16</t>
        </is>
      </c>
      <c r="C3" t="inlineStr" s="0">
        <is>
          <t>enero</t>
        </is>
      </c>
      <c r="D3" t="inlineStr" s="0">
        <is>
          <t>Cobro mensualidad enero Gabriel Ruíz</t>
        </is>
      </c>
      <c r="E3" t="inlineStr" s="0">
        <is>
          <t>4102 - Colegiaturas Mensuales</t>
        </is>
      </c>
      <c r="F3" t="str" s="0">
        <f>IF(E3="","",IFERROR(VLOOKUP(E3,Config!$F$2:$G$60,2,FALSE),"Gasto"))</f>
        <v>Ingreso</v>
      </c>
      <c r="G3" s="2">
        <v>9300.0</v>
      </c>
      <c r="H3" s="2">
        <f>IF(G3="","",IF(IFERROR(VLOOKUP(E3,Config!$F$2:$H$60,3,FALSE),"Exento")="Afecto",ROUND(G3-(G3/1.12),2),0))</f>
        <v>0.0</v>
      </c>
      <c r="I3" s="2">
        <f>IF(G3="","",ROUND(G3-H3,2))</f>
        <v>9300.0</v>
      </c>
      <c r="J3" t="inlineStr" s="0">
        <is>
          <t>BI- Monetaria</t>
        </is>
      </c>
      <c r="K3" s="3">
        <f>IF(G3="","",ROUND(K2+IF(J3="BI-Ahorro",0,IF(F3="Gasto",-G3,G3)),2))</f>
        <v>10300.0</v>
      </c>
      <c r="L3" s="2">
        <f>IF(G3="","",ROUND(L2+IF(LEFT(E3,4)="2102",G3,IF(J3="BI-Ahorro",-G3,0)),2))</f>
        <v>0.0</v>
      </c>
      <c r="M3" t="inlineStr" s="0">
        <is>
          <t>AUT-20260116-002</t>
        </is>
      </c>
      <c r="N3" t="inlineStr" s="0">
        <is>
          <t>01-Pre-Primaria / 02-Primaria</t>
        </is>
      </c>
      <c r="O3" t="inlineStr" s="0">
        <is>
          <t/>
        </is>
      </c>
    </row>
    <row r="4">
      <c r="A4" t="inlineStr" s="0">
        <is>
          <t>ALT-26-003</t>
        </is>
      </c>
      <c r="B4" t="inlineStr" s="0">
        <is>
          <t>2026-01-16</t>
        </is>
      </c>
      <c r="C4" t="inlineStr" s="0">
        <is>
          <t>enero</t>
        </is>
      </c>
      <c r="D4" t="inlineStr" s="0">
        <is>
          <t>Cobro cuenta ajena materiales escolares Gabriel Ruíz</t>
        </is>
      </c>
      <c r="E4" t="inlineStr" s="0">
        <is>
          <t>2106 - Acreedores por Cuenta Ajena</t>
        </is>
      </c>
      <c r="F4" t="str" s="0">
        <f>IF(E4="","",IFERROR(VLOOKUP(E4,Config!$F$2:$G$60,2,FALSE),"Gasto"))</f>
        <v>Pasivo</v>
      </c>
      <c r="G4" s="2">
        <v>1227.0</v>
      </c>
      <c r="H4" s="2">
        <f>IF(G4="","",IF(IFERROR(VLOOKUP(E4,Config!$F$2:$H$60,3,FALSE),"Exento")="Afecto",ROUND(G4-(G4/1.12),2),0))</f>
        <v>0.0</v>
      </c>
      <c r="I4" s="2">
        <f>IF(G4="","",ROUND(G4-H4,2))</f>
        <v>1227.0</v>
      </c>
      <c r="J4" t="inlineStr" s="0">
        <is>
          <t>BI- Monetaria</t>
        </is>
      </c>
      <c r="K4" s="3">
        <f>IF(G4="","",ROUND(K3+IF(J4="BI-Ahorro",0,IF(F4="Gasto",-G4,G4)),2))</f>
        <v>11527.0</v>
      </c>
      <c r="L4" s="2">
        <f>IF(G4="","",ROUND(L3+IF(LEFT(E4,4)="2102",G4,IF(J4="BI-Ahorro",-G4,0)),2))</f>
        <v>0.0</v>
      </c>
      <c r="M4" t="inlineStr" s="0">
        <is>
          <t>AUT-20260116-003</t>
        </is>
      </c>
      <c r="N4" t="inlineStr" s="0">
        <is>
          <t>00-Administración</t>
        </is>
      </c>
      <c r="O4" t="inlineStr" s="0">
        <is>
          <t/>
        </is>
      </c>
    </row>
    <row r="5">
      <c r="A5" t="inlineStr" s="0">
        <is>
          <t>ALT-26-004</t>
        </is>
      </c>
      <c r="B5" t="inlineStr" s="0">
        <is>
          <t>2026-01-17</t>
        </is>
      </c>
      <c r="C5" t="inlineStr" s="0">
        <is>
          <t>enero</t>
        </is>
      </c>
      <c r="D5" t="inlineStr" s="0">
        <is>
          <t>Cobro mensualidad enero Mateo Toribio</t>
        </is>
      </c>
      <c r="E5" t="inlineStr" s="0">
        <is>
          <t>4102 - Colegiaturas Mensuales</t>
        </is>
      </c>
      <c r="F5" t="str" s="0">
        <f>IF(E5="","",IFERROR(VLOOKUP(E5,Config!$F$2:$G$60,2,FALSE),"Gasto"))</f>
        <v>Ingreso</v>
      </c>
      <c r="G5" s="2">
        <v>9300.0</v>
      </c>
      <c r="H5" s="2">
        <f>IF(G5="","",IF(IFERROR(VLOOKUP(E5,Config!$F$2:$H$60,3,FALSE),"Exento")="Afecto",ROUND(G5-(G5/1.12),2),0))</f>
        <v>0.0</v>
      </c>
      <c r="I5" s="2">
        <f>IF(G5="","",ROUND(G5-H5,2))</f>
        <v>9300.0</v>
      </c>
      <c r="J5" t="inlineStr" s="0">
        <is>
          <t>BI- Monetaria</t>
        </is>
      </c>
      <c r="K5" s="3">
        <f>IF(G5="","",ROUND(K4+IF(J5="BI-Ahorro",0,IF(F5="Gasto",-G5,G5)),2))</f>
        <v>20827.0</v>
      </c>
      <c r="L5" s="2">
        <f>IF(G5="","",ROUND(L4+IF(LEFT(E5,4)="2102",G5,IF(J5="BI-Ahorro",-G5,0)),2))</f>
        <v>0.0</v>
      </c>
      <c r="M5" t="inlineStr" s="0">
        <is>
          <t>AUT-20260117-004</t>
        </is>
      </c>
      <c r="N5" t="inlineStr" s="0">
        <is>
          <t>01-Pre-Primaria / 02-Primaria</t>
        </is>
      </c>
      <c r="O5" t="inlineStr" s="0">
        <is>
          <t/>
        </is>
      </c>
    </row>
    <row r="6">
      <c r="A6" t="inlineStr" s="0">
        <is>
          <t>ALT-26-005</t>
        </is>
      </c>
      <c r="B6" t="inlineStr" s="0">
        <is>
          <t>2026-01-17</t>
        </is>
      </c>
      <c r="C6" t="inlineStr" s="0">
        <is>
          <t>enero</t>
        </is>
      </c>
      <c r="D6" t="inlineStr" s="0">
        <is>
          <t>Cobro cuenta ajena seguro y materiales MT</t>
        </is>
      </c>
      <c r="E6" t="inlineStr" s="0">
        <is>
          <t>2106 - Acreedores por Cuenta Ajena</t>
        </is>
      </c>
      <c r="F6" t="str" s="0">
        <f>IF(E6="","",IFERROR(VLOOKUP(E6,Config!$F$2:$G$60,2,FALSE),"Gasto"))</f>
        <v>Pasivo</v>
      </c>
      <c r="G6" s="2">
        <v>1027.0</v>
      </c>
      <c r="H6" s="2">
        <f>IF(G6="","",IF(IFERROR(VLOOKUP(E6,Config!$F$2:$H$60,3,FALSE),"Exento")="Afecto",ROUND(G6-(G6/1.12),2),0))</f>
        <v>0.0</v>
      </c>
      <c r="I6" s="2">
        <f>IF(G6="","",ROUND(G6-H6,2))</f>
        <v>1027.0</v>
      </c>
      <c r="J6" t="inlineStr" s="0">
        <is>
          <t>BI- Monetaria</t>
        </is>
      </c>
      <c r="K6" s="3">
        <f>IF(G6="","",ROUND(K5+IF(J6="BI-Ahorro",0,IF(F6="Gasto",-G6,G6)),2))</f>
        <v>21854.0</v>
      </c>
      <c r="L6" s="2">
        <f>IF(G6="","",ROUND(L5+IF(LEFT(E6,4)="2102",G6,IF(J6="BI-Ahorro",-G6,0)),2))</f>
        <v>0.0</v>
      </c>
      <c r="M6" t="inlineStr" s="0">
        <is>
          <t>AUT-20260117-005</t>
        </is>
      </c>
      <c r="N6" t="inlineStr" s="0">
        <is>
          <t>00-Administración</t>
        </is>
      </c>
      <c r="O6" t="inlineStr" s="0">
        <is>
          <t/>
        </is>
      </c>
    </row>
    <row r="7">
      <c r="A7" t="inlineStr" s="0">
        <is>
          <t>ALT-26-006</t>
        </is>
      </c>
      <c r="B7" t="inlineStr" s="0">
        <is>
          <t>2026-01-17</t>
        </is>
      </c>
      <c r="C7" t="inlineStr" s="0">
        <is>
          <t>enero</t>
        </is>
      </c>
      <c r="D7" t="inlineStr" s="0">
        <is>
          <t>Cobro mensualidad enero Günther Márquez</t>
        </is>
      </c>
      <c r="E7" t="inlineStr" s="0">
        <is>
          <t>4102 - Colegiaturas Mensuales</t>
        </is>
      </c>
      <c r="F7" t="str" s="0">
        <f>IF(E7="","",IFERROR(VLOOKUP(E7,Config!$F$2:$G$60,2,FALSE),"Gasto"))</f>
        <v>Ingreso</v>
      </c>
      <c r="G7" s="2">
        <v>3800.0</v>
      </c>
      <c r="H7" s="2">
        <f>IF(G7="","",IF(IFERROR(VLOOKUP(E7,Config!$F$2:$H$60,3,FALSE),"Exento")="Afecto",ROUND(G7-(G7/1.12),2),0))</f>
        <v>0.0</v>
      </c>
      <c r="I7" s="2">
        <f>IF(G7="","",ROUND(G7-H7,2))</f>
        <v>3800.0</v>
      </c>
      <c r="J7" t="inlineStr" s="0">
        <is>
          <t>BI- Monetaria</t>
        </is>
      </c>
      <c r="K7" s="3">
        <f>IF(G7="","",ROUND(K6+IF(J7="BI-Ahorro",0,IF(F7="Gasto",-G7,G7)),2))</f>
        <v>25654.0</v>
      </c>
      <c r="L7" s="2">
        <f>IF(G7="","",ROUND(L6+IF(LEFT(E7,4)="2102",G7,IF(J7="BI-Ahorro",-G7,0)),2))</f>
        <v>0.0</v>
      </c>
      <c r="M7" t="inlineStr" s="0">
        <is>
          <t>AUT-20260117-006</t>
        </is>
      </c>
      <c r="N7" t="inlineStr" s="0">
        <is>
          <t>01-Pre-Primaria / 02-Primaria</t>
        </is>
      </c>
      <c r="O7" t="inlineStr" s="0">
        <is>
          <t/>
        </is>
      </c>
    </row>
    <row r="8">
      <c r="A8" t="inlineStr" s="0">
        <is>
          <t>ALT-26-007</t>
        </is>
      </c>
      <c r="B8" t="inlineStr" s="0">
        <is>
          <t>2026-01-17</t>
        </is>
      </c>
      <c r="C8" t="inlineStr" s="0">
        <is>
          <t>enero</t>
        </is>
      </c>
      <c r="D8" t="inlineStr" s="0">
        <is>
          <t>Cobro anticipo 1/6 inscripcion Günther Márquez</t>
        </is>
      </c>
      <c r="E8" t="inlineStr" s="0">
        <is>
          <t>4101 - Inscripciones</t>
        </is>
      </c>
      <c r="F8" t="str" s="0">
        <f>IF(E8="","",IFERROR(VLOOKUP(E8,Config!$F$2:$G$60,2,FALSE),"Gasto"))</f>
        <v>Ingreso</v>
      </c>
      <c r="G8" s="2">
        <v>1716.66</v>
      </c>
      <c r="H8" s="2">
        <f>IF(G8="","",IF(IFERROR(VLOOKUP(E8,Config!$F$2:$H$60,3,FALSE),"Exento")="Afecto",ROUND(G8-(G8/1.12),2),0))</f>
        <v>0.0</v>
      </c>
      <c r="I8" s="2">
        <f>IF(G8="","",ROUND(G8-H8,2))</f>
        <v>1716.66</v>
      </c>
      <c r="J8" t="inlineStr" s="0">
        <is>
          <t>BI- Monetaria</t>
        </is>
      </c>
      <c r="K8" s="3">
        <f>IF(G8="","",ROUND(K7+IF(J8="BI-Ahorro",0,IF(F8="Gasto",-G8,G8)),2))</f>
        <v>27370.66</v>
      </c>
      <c r="L8" s="2">
        <f>IF(G8="","",ROUND(L7+IF(LEFT(E8,4)="2102",G8,IF(J8="BI-Ahorro",-G8,0)),2))</f>
        <v>0.0</v>
      </c>
      <c r="M8" t="inlineStr" s="0">
        <is>
          <t>AUT-20260117-007</t>
        </is>
      </c>
      <c r="N8" t="inlineStr" s="0">
        <is>
          <t>01-Pre-Primaria / 02-Primaria</t>
        </is>
      </c>
      <c r="O8" t="inlineStr" s="0">
        <is>
          <t/>
        </is>
      </c>
    </row>
    <row r="9">
      <c r="A9" t="inlineStr" s="0">
        <is>
          <t>ALT-26-008</t>
        </is>
      </c>
      <c r="B9" t="inlineStr" s="0">
        <is>
          <t>2026-01-19</t>
        </is>
      </c>
      <c r="C9" t="inlineStr" s="0">
        <is>
          <t>enero</t>
        </is>
      </c>
      <c r="D9" t="inlineStr" s="0">
        <is>
          <t>Cobro mensualidad enero Luís Felipe Guzmán</t>
        </is>
      </c>
      <c r="E9" t="inlineStr" s="0">
        <is>
          <t>4102 - Colegiaturas Mensuales</t>
        </is>
      </c>
      <c r="F9" t="str" s="0">
        <f>IF(E9="","",IFERROR(VLOOKUP(E9,Config!$F$2:$G$60,2,FALSE),"Gasto"))</f>
        <v>Ingreso</v>
      </c>
      <c r="G9" s="2">
        <v>9300.0</v>
      </c>
      <c r="H9" s="2">
        <f>IF(G9="","",IF(IFERROR(VLOOKUP(E9,Config!$F$2:$H$60,3,FALSE),"Exento")="Afecto",ROUND(G9-(G9/1.12),2),0))</f>
        <v>0.0</v>
      </c>
      <c r="I9" s="2">
        <f>IF(G9="","",ROUND(G9-H9,2))</f>
        <v>9300.0</v>
      </c>
      <c r="J9" t="inlineStr" s="0">
        <is>
          <t>BI- Monetaria</t>
        </is>
      </c>
      <c r="K9" s="3">
        <f>IF(G9="","",ROUND(K8+IF(J9="BI-Ahorro",0,IF(F9="Gasto",-G9,G9)),2))</f>
        <v>36670.66</v>
      </c>
      <c r="L9" s="2">
        <f>IF(G9="","",ROUND(L8+IF(LEFT(E9,4)="2102",G9,IF(J9="BI-Ahorro",-G9,0)),2))</f>
        <v>0.0</v>
      </c>
      <c r="M9" t="inlineStr" s="0">
        <is>
          <t>AUT-20260119-008</t>
        </is>
      </c>
      <c r="N9" t="inlineStr" s="0">
        <is>
          <t>01-Pre-Primaria / 02-Primaria</t>
        </is>
      </c>
      <c r="O9" t="inlineStr" s="0">
        <is>
          <t/>
        </is>
      </c>
    </row>
    <row r="10">
      <c r="A10" t="inlineStr" s="0">
        <is>
          <t>ALT-26-009</t>
        </is>
      </c>
      <c r="B10" t="inlineStr" s="0">
        <is>
          <t>2026-01-19</t>
        </is>
      </c>
      <c r="C10" t="inlineStr" s="0">
        <is>
          <t>enero</t>
        </is>
      </c>
      <c r="D10" t="inlineStr" s="0">
        <is>
          <t>Cobro cuenta ajena seguro materiales LFG</t>
        </is>
      </c>
      <c r="E10" t="inlineStr" s="0">
        <is>
          <t>2106 - Acreedores por Cuenta Ajena</t>
        </is>
      </c>
      <c r="F10" t="str" s="0">
        <f>IF(E10="","",IFERROR(VLOOKUP(E10,Config!$F$2:$G$60,2,FALSE),"Gasto"))</f>
        <v>Pasivo</v>
      </c>
      <c r="G10" s="2">
        <v>1175.0</v>
      </c>
      <c r="H10" s="2">
        <f>IF(G10="","",IF(IFERROR(VLOOKUP(E10,Config!$F$2:$H$60,3,FALSE),"Exento")="Afecto",ROUND(G10-(G10/1.12),2),0))</f>
        <v>0.0</v>
      </c>
      <c r="I10" s="2">
        <f>IF(G10="","",ROUND(G10-H10,2))</f>
        <v>1175.0</v>
      </c>
      <c r="J10" t="inlineStr" s="0">
        <is>
          <t>BI- Monetaria</t>
        </is>
      </c>
      <c r="K10" s="3">
        <f>IF(G10="","",ROUND(K9+IF(J10="BI-Ahorro",0,IF(F10="Gasto",-G10,G10)),2))</f>
        <v>37845.66</v>
      </c>
      <c r="L10" s="2">
        <f>IF(G10="","",ROUND(L9+IF(LEFT(E10,4)="2102",G10,IF(J10="BI-Ahorro",-G10,0)),2))</f>
        <v>0.0</v>
      </c>
      <c r="M10" t="inlineStr" s="0">
        <is>
          <t>AUT-20260119-009</t>
        </is>
      </c>
      <c r="N10" t="inlineStr" s="0">
        <is>
          <t>00-Administración</t>
        </is>
      </c>
      <c r="O10" t="inlineStr" s="0">
        <is>
          <t/>
        </is>
      </c>
    </row>
    <row r="11">
      <c r="A11" t="inlineStr" s="0">
        <is>
          <t>ALT-26-010</t>
        </is>
      </c>
      <c r="B11" t="inlineStr" s="0">
        <is>
          <t>2026-01-19</t>
        </is>
      </c>
      <c r="C11" t="inlineStr" s="0">
        <is>
          <t>enero</t>
        </is>
      </c>
      <c r="D11" t="inlineStr" s="0">
        <is>
          <t>Cobro cuenta ajena uniformes LFG</t>
        </is>
      </c>
      <c r="E11" t="inlineStr" s="0">
        <is>
          <t>2106 - Acreedores por Cuenta Ajena</t>
        </is>
      </c>
      <c r="F11" t="str" s="0">
        <f>IF(E11="","",IFERROR(VLOOKUP(E11,Config!$F$2:$G$60,2,FALSE),"Gasto"))</f>
        <v>Pasivo</v>
      </c>
      <c r="G11" s="2">
        <v>200.0</v>
      </c>
      <c r="H11" s="2">
        <f>IF(G11="","",IF(IFERROR(VLOOKUP(E11,Config!$F$2:$H$60,3,FALSE),"Exento")="Afecto",ROUND(G11-(G11/1.12),2),0))</f>
        <v>0.0</v>
      </c>
      <c r="I11" s="2">
        <f>IF(G11="","",ROUND(G11-H11,2))</f>
        <v>200.0</v>
      </c>
      <c r="J11" t="inlineStr" s="0">
        <is>
          <t>BI- Monetaria</t>
        </is>
      </c>
      <c r="K11" s="3">
        <f>IF(G11="","",ROUND(K10+IF(J11="BI-Ahorro",0,IF(F11="Gasto",-G11,G11)),2))</f>
        <v>38045.66</v>
      </c>
      <c r="L11" s="2">
        <f>IF(G11="","",ROUND(L10+IF(LEFT(E11,4)="2102",G11,IF(J11="BI-Ahorro",-G11,0)),2))</f>
        <v>0.0</v>
      </c>
      <c r="M11" t="inlineStr" s="0">
        <is>
          <t>AUT-20260119-010</t>
        </is>
      </c>
      <c r="N11" t="inlineStr" s="0">
        <is>
          <t>00-Administración</t>
        </is>
      </c>
      <c r="O11" t="inlineStr" s="0">
        <is>
          <t/>
        </is>
      </c>
    </row>
    <row r="12">
      <c r="A12" t="inlineStr" s="0">
        <is>
          <t>ALT-26-011</t>
        </is>
      </c>
      <c r="B12" t="inlineStr" s="0">
        <is>
          <t>2026-01-22</t>
        </is>
      </c>
      <c r="C12" t="inlineStr" s="0">
        <is>
          <t>enero</t>
        </is>
      </c>
      <c r="D12" t="inlineStr" s="0">
        <is>
          <t>Inscripciones cobradas en Diciembre</t>
        </is>
      </c>
      <c r="E12" t="inlineStr" s="0">
        <is>
          <t>4101 - Inscripciones</t>
        </is>
      </c>
      <c r="F12" t="str" s="0">
        <f>IF(E12="","",IFERROR(VLOOKUP(E12,Config!$F$2:$G$60,2,FALSE),"Gasto"))</f>
        <v>Ingreso</v>
      </c>
      <c r="G12" s="2">
        <v>38000.0</v>
      </c>
      <c r="H12" s="2">
        <f>IF(G12="","",IF(IFERROR(VLOOKUP(E12,Config!$F$2:$H$60,3,FALSE),"Exento")="Afecto",ROUND(G12-(G12/1.12),2),0))</f>
        <v>0.0</v>
      </c>
      <c r="I12" s="2">
        <f>IF(G12="","",ROUND(G12-H12,2))</f>
        <v>38000.0</v>
      </c>
      <c r="J12" t="inlineStr" s="0">
        <is>
          <t>BI- Monetaria</t>
        </is>
      </c>
      <c r="K12" s="3">
        <f>IF(G12="","",ROUND(K11+IF(J12="BI-Ahorro",0,IF(F12="Gasto",-G12,G12)),2))</f>
        <v>76045.66</v>
      </c>
      <c r="L12" s="2">
        <f>IF(G12="","",ROUND(L11+IF(LEFT(E12,4)="2102",G12,IF(J12="BI-Ahorro",-G12,0)),2))</f>
        <v>0.0</v>
      </c>
      <c r="M12" t="inlineStr" s="0">
        <is>
          <t>AUT-20260122-011</t>
        </is>
      </c>
      <c r="N12" t="inlineStr" s="0">
        <is>
          <t>01-Pre-Primaria / 02-Primaria</t>
        </is>
      </c>
      <c r="O12" t="inlineStr" s="0">
        <is>
          <t/>
        </is>
      </c>
    </row>
    <row r="13">
      <c r="A13" t="inlineStr" s="0">
        <is>
          <t>ALT-26-012</t>
        </is>
      </c>
      <c r="B13" t="inlineStr" s="0">
        <is>
          <t>2026-01-22</t>
        </is>
      </c>
      <c r="C13" t="inlineStr" s="0">
        <is>
          <t>enero</t>
        </is>
      </c>
      <c r="D13" t="inlineStr" s="0">
        <is>
          <t>Inscripciones cobradas en Diciembre</t>
        </is>
      </c>
      <c r="E13" t="inlineStr" s="0">
        <is>
          <t>4101 - Inscripciones</t>
        </is>
      </c>
      <c r="F13" t="str" s="0">
        <f>IF(E13="","",IFERROR(VLOOKUP(E13,Config!$F$2:$G$60,2,FALSE),"Gasto"))</f>
        <v>Ingreso</v>
      </c>
      <c r="G13" s="2">
        <v>19000.0</v>
      </c>
      <c r="H13" s="2">
        <f>IF(G13="","",IF(IFERROR(VLOOKUP(E13,Config!$F$2:$H$60,3,FALSE),"Exento")="Afecto",ROUND(G13-(G13/1.12),2),0))</f>
        <v>0.0</v>
      </c>
      <c r="I13" s="2">
        <f>IF(G13="","",ROUND(G13-H13,2))</f>
        <v>19000.0</v>
      </c>
      <c r="J13" t="inlineStr" s="0">
        <is>
          <t>BI- Monetaria</t>
        </is>
      </c>
      <c r="K13" s="3">
        <f>IF(G13="","",ROUND(K12+IF(J13="BI-Ahorro",0,IF(F13="Gasto",-G13,G13)),2))</f>
        <v>95045.66</v>
      </c>
      <c r="L13" s="2">
        <f>IF(G13="","",ROUND(L12+IF(LEFT(E13,4)="2102",G13,IF(J13="BI-Ahorro",-G13,0)),2))</f>
        <v>0.0</v>
      </c>
      <c r="M13" t="inlineStr" s="0">
        <is>
          <t>AUT-20260122-012</t>
        </is>
      </c>
      <c r="N13" t="inlineStr" s="0">
        <is>
          <t>01-Pre-Primaria / 02-Primaria</t>
        </is>
      </c>
      <c r="O13" t="inlineStr" s="0">
        <is>
          <t/>
        </is>
      </c>
    </row>
    <row r="14">
      <c r="A14" t="inlineStr" s="0">
        <is>
          <t>ALT-26-013</t>
        </is>
      </c>
      <c r="B14" t="inlineStr" s="0">
        <is>
          <t>2026-01-22</t>
        </is>
      </c>
      <c r="C14" t="inlineStr" s="0">
        <is>
          <t>enero</t>
        </is>
      </c>
      <c r="D14" t="inlineStr" s="0">
        <is>
          <t>Compra de sello para el  colegio</t>
        </is>
      </c>
      <c r="E14" t="inlineStr" s="0">
        <is>
          <t>5203 - Papelería, útiles y suministros</t>
        </is>
      </c>
      <c r="F14" t="str" s="0">
        <f>IF(E14="","",IFERROR(VLOOKUP(E14,Config!$F$2:$G$60,2,FALSE),"Gasto"))</f>
        <v>Gasto</v>
      </c>
      <c r="G14" s="2">
        <v>250.0</v>
      </c>
      <c r="H14" s="2">
        <f>IF(G14="","",IF(IFERROR(VLOOKUP(E14,Config!$F$2:$H$60,3,FALSE),"Exento")="Afecto",ROUND(G14-(G14/1.12),2),0))</f>
        <v>26.79</v>
      </c>
      <c r="I14" s="2">
        <f>IF(G14="","",ROUND(G14-H14,2))</f>
        <v>223.21</v>
      </c>
      <c r="J14" t="inlineStr" s="0">
        <is>
          <t>BI- Monetaria</t>
        </is>
      </c>
      <c r="K14" s="3">
        <f>IF(G14="","",ROUND(K13+IF(J14="BI-Ahorro",0,IF(F14="Gasto",-G14,G14)),2))</f>
        <v>94795.66</v>
      </c>
      <c r="L14" s="2">
        <f>IF(G14="","",ROUND(L13+IF(LEFT(E14,4)="2102",G14,IF(J14="BI-Ahorro",-G14,0)),2))</f>
        <v>0.0</v>
      </c>
      <c r="M14" t="inlineStr" s="0">
        <is>
          <t>AUT-20260122-013</t>
        </is>
      </c>
      <c r="N14" t="inlineStr" s="0">
        <is>
          <t>00-Administración</t>
        </is>
      </c>
      <c r="O14" t="inlineStr" s="0">
        <is>
          <t/>
        </is>
      </c>
    </row>
    <row r="15">
      <c r="A15" t="inlineStr" s="0">
        <is>
          <t>ALT-26-014</t>
        </is>
      </c>
      <c r="B15" t="inlineStr" s="0">
        <is>
          <t>2026-01-22</t>
        </is>
      </c>
      <c r="C15" t="inlineStr" s="0">
        <is>
          <t>enero</t>
        </is>
      </c>
      <c r="D15" t="inlineStr" s="0">
        <is>
          <t>Gastos de comida reunión de papás</t>
        </is>
      </c>
      <c r="E15" t="inlineStr" s="0">
        <is>
          <t>5205 - Actividades y excursiones</t>
        </is>
      </c>
      <c r="F15" t="str" s="0">
        <f>IF(E15="","",IFERROR(VLOOKUP(E15,Config!$F$2:$G$60,2,FALSE),"Gasto"))</f>
        <v>Gasto</v>
      </c>
      <c r="G15" s="2">
        <v>1264.0</v>
      </c>
      <c r="H15" s="2">
        <f>IF(G15="","",IF(IFERROR(VLOOKUP(E15,Config!$F$2:$H$60,3,FALSE),"Exento")="Afecto",ROUND(G15-(G15/1.12),2),0))</f>
        <v>135.43</v>
      </c>
      <c r="I15" s="2">
        <f>IF(G15="","",ROUND(G15-H15,2))</f>
        <v>1128.57</v>
      </c>
      <c r="J15" t="inlineStr" s="0">
        <is>
          <t>BI- Monetaria</t>
        </is>
      </c>
      <c r="K15" s="3">
        <f>IF(G15="","",ROUND(K14+IF(J15="BI-Ahorro",0,IF(F15="Gasto",-G15,G15)),2))</f>
        <v>93531.66</v>
      </c>
      <c r="L15" s="2">
        <f>IF(G15="","",ROUND(L14+IF(LEFT(E15,4)="2102",G15,IF(J15="BI-Ahorro",-G15,0)),2))</f>
        <v>0.0</v>
      </c>
      <c r="M15" t="inlineStr" s="0">
        <is>
          <t>AUT-20260122-014</t>
        </is>
      </c>
      <c r="N15" t="inlineStr" s="0">
        <is>
          <t>00-Administración</t>
        </is>
      </c>
      <c r="O15" t="inlineStr" s="0">
        <is>
          <t/>
        </is>
      </c>
    </row>
    <row r="16">
      <c r="A16" t="inlineStr" s="0">
        <is>
          <t>ALT-26-015</t>
        </is>
      </c>
      <c r="B16" t="inlineStr" s="0">
        <is>
          <t>2026-01-27</t>
        </is>
      </c>
      <c r="C16" t="inlineStr" s="0">
        <is>
          <t>enero</t>
        </is>
      </c>
      <c r="D16" t="inlineStr" s="0">
        <is>
          <t>Pago mes de enero a Lucía Montes</t>
        </is>
      </c>
      <c r="E16" t="inlineStr" s="0">
        <is>
          <t>5101 - Sueldos y Salarios</t>
        </is>
      </c>
      <c r="F16" t="str" s="0">
        <f>IF(E16="","",IFERROR(VLOOKUP(E16,Config!$F$2:$G$60,2,FALSE),"Gasto"))</f>
        <v>Gasto</v>
      </c>
      <c r="G16" s="2">
        <v>8587.64</v>
      </c>
      <c r="H16" s="2">
        <f>IF(G16="","",IF(IFERROR(VLOOKUP(E16,Config!$F$2:$H$60,3,FALSE),"Exento")="Afecto",ROUND(G16-(G16/1.12),2),0))</f>
        <v>0.0</v>
      </c>
      <c r="I16" s="2">
        <f>IF(G16="","",ROUND(G16-H16,2))</f>
        <v>8587.64</v>
      </c>
      <c r="J16" t="inlineStr" s="0">
        <is>
          <t>BI- Monetaria</t>
        </is>
      </c>
      <c r="K16" s="3">
        <f>IF(G16="","",ROUND(K15+IF(J16="BI-Ahorro",0,IF(F16="Gasto",-G16,G16)),2))</f>
        <v>84944.02</v>
      </c>
      <c r="L16" s="2">
        <f>IF(G16="","",ROUND(L15+IF(LEFT(E16,4)="2102",G16,IF(J16="BI-Ahorro",-G16,0)),2))</f>
        <v>0.0</v>
      </c>
      <c r="M16" t="inlineStr" s="0">
        <is>
          <t>AUT-20260127-015</t>
        </is>
      </c>
      <c r="N16" t="inlineStr" s="0">
        <is>
          <t>00-Administración</t>
        </is>
      </c>
      <c r="O16" t="inlineStr" s="0">
        <is>
          <t/>
        </is>
      </c>
    </row>
    <row r="17">
      <c r="A17" t="inlineStr" s="0">
        <is>
          <t>ALT-26-016</t>
        </is>
      </c>
      <c r="B17" t="inlineStr" s="0">
        <is>
          <t>2026-01-27</t>
        </is>
      </c>
      <c r="C17" t="inlineStr" s="0">
        <is>
          <t>enero</t>
        </is>
      </c>
      <c r="D17" t="inlineStr" s="0">
        <is>
          <t>Pago mes de enero a Jessica Gudiel</t>
        </is>
      </c>
      <c r="E17" t="inlineStr" s="0">
        <is>
          <t>5101 - Sueldos y Salarios</t>
        </is>
      </c>
      <c r="F17" t="str" s="0">
        <f>IF(E17="","",IFERROR(VLOOKUP(E17,Config!$F$2:$G$60,2,FALSE),"Gasto"))</f>
        <v>Gasto</v>
      </c>
      <c r="G17" s="2">
        <v>5875.29</v>
      </c>
      <c r="H17" s="2">
        <f>IF(G17="","",IF(IFERROR(VLOOKUP(E17,Config!$F$2:$H$60,3,FALSE),"Exento")="Afecto",ROUND(G17-(G17/1.12),2),0))</f>
        <v>0.0</v>
      </c>
      <c r="I17" s="2">
        <f>IF(G17="","",ROUND(G17-H17,2))</f>
        <v>5875.29</v>
      </c>
      <c r="J17" t="inlineStr" s="0">
        <is>
          <t>BI- Monetaria</t>
        </is>
      </c>
      <c r="K17" s="3">
        <f>IF(G17="","",ROUND(K16+IF(J17="BI-Ahorro",0,IF(F17="Gasto",-G17,G17)),2))</f>
        <v>79068.73</v>
      </c>
      <c r="L17" s="2">
        <f>IF(G17="","",ROUND(L16+IF(LEFT(E17,4)="2102",G17,IF(J17="BI-Ahorro",-G17,0)),2))</f>
        <v>0.0</v>
      </c>
      <c r="M17" t="inlineStr" s="0">
        <is>
          <t>AUT-20260127-016</t>
        </is>
      </c>
      <c r="N17" t="inlineStr" s="0">
        <is>
          <t>00-Administración</t>
        </is>
      </c>
      <c r="O17" t="inlineStr" s="0">
        <is>
          <t/>
        </is>
      </c>
    </row>
    <row r="18">
      <c r="A18" t="inlineStr" s="0">
        <is>
          <t>ALT-26-017</t>
        </is>
      </c>
      <c r="B18" t="inlineStr" s="0">
        <is>
          <t>2026-01-27</t>
        </is>
      </c>
      <c r="C18" t="inlineStr" s="0">
        <is>
          <t>enero</t>
        </is>
      </c>
      <c r="D18" t="inlineStr" s="0">
        <is>
          <t>Pago mes de enero Geovanna Velázquez</t>
        </is>
      </c>
      <c r="E18" t="inlineStr" s="0">
        <is>
          <t>5101 - Sueldos y Salarios</t>
        </is>
      </c>
      <c r="F18" t="str" s="0">
        <f>IF(E18="","",IFERROR(VLOOKUP(E18,Config!$F$2:$G$60,2,FALSE),"Gasto"))</f>
        <v>Gasto</v>
      </c>
      <c r="G18" s="2">
        <v>4247.14</v>
      </c>
      <c r="H18" s="2">
        <f>IF(G18="","",IF(IFERROR(VLOOKUP(E18,Config!$F$2:$H$60,3,FALSE),"Exento")="Afecto",ROUND(G18-(G18/1.12),2),0))</f>
        <v>0.0</v>
      </c>
      <c r="I18" s="2">
        <f>IF(G18="","",ROUND(G18-H18,2))</f>
        <v>4247.14</v>
      </c>
      <c r="J18" t="inlineStr" s="0">
        <is>
          <t>BI- Monetaria</t>
        </is>
      </c>
      <c r="K18" s="3">
        <f>IF(G18="","",ROUND(K17+IF(J18="BI-Ahorro",0,IF(F18="Gasto",-G18,G18)),2))</f>
        <v>74821.59</v>
      </c>
      <c r="L18" s="2">
        <f>IF(G18="","",ROUND(L17+IF(LEFT(E18,4)="2102",G18,IF(J18="BI-Ahorro",-G18,0)),2))</f>
        <v>0.0</v>
      </c>
      <c r="M18" t="inlineStr" s="0">
        <is>
          <t>AUT-20260127-017</t>
        </is>
      </c>
      <c r="N18" t="inlineStr" s="0">
        <is>
          <t>00-Administración</t>
        </is>
      </c>
      <c r="O18" t="inlineStr" s="0">
        <is>
          <t/>
        </is>
      </c>
    </row>
    <row r="19">
      <c r="A19" t="inlineStr" s="0">
        <is>
          <t>ALT-26-018</t>
        </is>
      </c>
      <c r="B19" t="inlineStr" s="0">
        <is>
          <t>2026-01-27</t>
        </is>
      </c>
      <c r="C19" t="inlineStr" s="0">
        <is>
          <t>enero</t>
        </is>
      </c>
      <c r="D19" t="inlineStr" s="0">
        <is>
          <t>Pago mes de enero Suly Sajbochol</t>
        </is>
      </c>
      <c r="E19" t="inlineStr" s="0">
        <is>
          <t>5101 - Sueldos y Salarios</t>
        </is>
      </c>
      <c r="F19" t="str" s="0">
        <f>IF(E19="","",IFERROR(VLOOKUP(E19,Config!$F$2:$G$60,2,FALSE),"Gasto"))</f>
        <v>Gasto</v>
      </c>
      <c r="G19" s="2">
        <v>4247.14</v>
      </c>
      <c r="H19" s="2">
        <f>IF(G19="","",IF(IFERROR(VLOOKUP(E19,Config!$F$2:$H$60,3,FALSE),"Exento")="Afecto",ROUND(G19-(G19/1.12),2),0))</f>
        <v>0.0</v>
      </c>
      <c r="I19" s="2">
        <f>IF(G19="","",ROUND(G19-H19,2))</f>
        <v>4247.14</v>
      </c>
      <c r="J19" t="inlineStr" s="0">
        <is>
          <t>BI- Monetaria</t>
        </is>
      </c>
      <c r="K19" s="3">
        <f>IF(G19="","",ROUND(K18+IF(J19="BI-Ahorro",0,IF(F19="Gasto",-G19,G19)),2))</f>
        <v>70574.45</v>
      </c>
      <c r="L19" s="2">
        <f>IF(G19="","",ROUND(L18+IF(LEFT(E19,4)="2102",G19,IF(J19="BI-Ahorro",-G19,0)),2))</f>
        <v>0.0</v>
      </c>
      <c r="M19" t="inlineStr" s="0">
        <is>
          <t>AUT-20260127-018</t>
        </is>
      </c>
      <c r="N19" t="inlineStr" s="0">
        <is>
          <t>00-Administración</t>
        </is>
      </c>
      <c r="O19" t="inlineStr" s="0">
        <is>
          <t/>
        </is>
      </c>
    </row>
    <row r="20">
      <c r="A20" t="inlineStr" s="0">
        <is>
          <t>ALT-26-019</t>
        </is>
      </c>
      <c r="B20" t="inlineStr" s="0">
        <is>
          <t>2026-01-27</t>
        </is>
      </c>
      <c r="C20" t="inlineStr" s="0">
        <is>
          <t>enero</t>
        </is>
      </c>
      <c r="D20" t="inlineStr" s="0">
        <is>
          <t>Pago mes de enero Melissa Peña</t>
        </is>
      </c>
      <c r="E20" t="inlineStr" s="0">
        <is>
          <t>5101 - Sueldos y Salarios</t>
        </is>
      </c>
      <c r="F20" t="str" s="0">
        <f>IF(E20="","",IFERROR(VLOOKUP(E20,Config!$F$2:$G$60,2,FALSE),"Gasto"))</f>
        <v>Gasto</v>
      </c>
      <c r="G20" s="2">
        <v>4247.14</v>
      </c>
      <c r="H20" s="2">
        <f>IF(G20="","",IF(IFERROR(VLOOKUP(E20,Config!$F$2:$H$60,3,FALSE),"Exento")="Afecto",ROUND(G20-(G20/1.12),2),0))</f>
        <v>0.0</v>
      </c>
      <c r="I20" s="2">
        <f>IF(G20="","",ROUND(G20-H20,2))</f>
        <v>4247.14</v>
      </c>
      <c r="J20" t="inlineStr" s="0">
        <is>
          <t>BI- Monetaria</t>
        </is>
      </c>
      <c r="K20" s="3">
        <f>IF(G20="","",ROUND(K19+IF(J20="BI-Ahorro",0,IF(F20="Gasto",-G20,G20)),2))</f>
        <v>66327.31</v>
      </c>
      <c r="L20" s="2">
        <f>IF(G20="","",ROUND(L19+IF(LEFT(E20,4)="2102",G20,IF(J20="BI-Ahorro",-G20,0)),2))</f>
        <v>0.0</v>
      </c>
      <c r="M20" t="inlineStr" s="0">
        <is>
          <t>AUT-20260127-019</t>
        </is>
      </c>
      <c r="N20" t="inlineStr" s="0">
        <is>
          <t>00-Administración</t>
        </is>
      </c>
      <c r="O20" t="inlineStr" s="0">
        <is>
          <t/>
        </is>
      </c>
    </row>
    <row r="21">
      <c r="A21" t="inlineStr" s="0">
        <is>
          <t>ALT-26-020</t>
        </is>
      </c>
      <c r="B21" t="inlineStr" s="0">
        <is>
          <t>2026-01-27</t>
        </is>
      </c>
      <c r="C21" t="inlineStr" s="0">
        <is>
          <t>enero</t>
        </is>
      </c>
      <c r="D21" t="inlineStr" s="0">
        <is>
          <t>Fondo provisiones laborales</t>
        </is>
      </c>
      <c r="E21" t="inlineStr" s="0">
        <is>
          <t>2102 - Provisiones Laborales</t>
        </is>
      </c>
      <c r="F21" t="str" s="0">
        <f>IF(E21="","",IFERROR(VLOOKUP(E21,Config!$F$2:$G$60,2,FALSE),"Gasto"))</f>
        <v>Gasto</v>
      </c>
      <c r="G21" s="2">
        <v>9189.57</v>
      </c>
      <c r="H21" s="2">
        <f>IF(G21="","",IF(IFERROR(VLOOKUP(E21,Config!$F$2:$H$60,3,FALSE),"Exento")="Afecto",ROUND(G21-(G21/1.12),2),0))</f>
        <v>0.0</v>
      </c>
      <c r="I21" s="2">
        <f>IF(G21="","",ROUND(G21-H21,2))</f>
        <v>9189.57</v>
      </c>
      <c r="J21" t="inlineStr" s="0">
        <is>
          <t>BI- Monetaria</t>
        </is>
      </c>
      <c r="K21" s="3">
        <f>IF(G21="","",ROUND(K20+IF(J21="BI-Ahorro",0,IF(F21="Gasto",-G21,G21)),2))</f>
        <v>57137.74</v>
      </c>
      <c r="L21" s="2">
        <f>IF(G21="","",ROUND(L20+IF(LEFT(E21,4)="2102",G21,IF(J21="BI-Ahorro",-G21,0)),2))</f>
        <v>9189.57</v>
      </c>
      <c r="M21" t="inlineStr" s="0">
        <is>
          <t>AUT-20260127-020</t>
        </is>
      </c>
      <c r="N21" t="inlineStr" s="0">
        <is>
          <t>00-Administración</t>
        </is>
      </c>
      <c r="O21" t="inlineStr" s="0">
        <is>
          <t/>
        </is>
      </c>
    </row>
    <row r="22">
      <c r="A22" t="inlineStr" s="0">
        <is>
          <t>ALT-26-021</t>
        </is>
      </c>
      <c r="B22" t="inlineStr" s="0">
        <is>
          <t>2026-01-27</t>
        </is>
      </c>
      <c r="C22" t="inlineStr" s="0">
        <is>
          <t>enero</t>
        </is>
      </c>
      <c r="D22" t="inlineStr" s="0">
        <is>
          <t>Donación institucional a Fundación Waybi</t>
        </is>
      </c>
      <c r="E22" t="inlineStr" s="0">
        <is>
          <t>5208 - Donaciones</t>
        </is>
      </c>
      <c r="F22" t="str" s="0">
        <f>IF(E22="","",IFERROR(VLOOKUP(E22,Config!$F$2:$G$60,2,FALSE),"Gasto"))</f>
        <v>Gasto</v>
      </c>
      <c r="G22" s="2">
        <v>1700.0</v>
      </c>
      <c r="H22" s="2">
        <f>IF(G22="","",IF(IFERROR(VLOOKUP(E22,Config!$F$2:$H$60,3,FALSE),"Exento")="Afecto",ROUND(G22-(G22/1.12),2),0))</f>
        <v>182.14</v>
      </c>
      <c r="I22" s="2">
        <f>IF(G22="","",ROUND(G22-H22,2))</f>
        <v>1517.86</v>
      </c>
      <c r="J22" t="inlineStr" s="0">
        <is>
          <t>BI- Monetaria</t>
        </is>
      </c>
      <c r="K22" s="3">
        <f>IF(G22="","",ROUND(K21+IF(J22="BI-Ahorro",0,IF(F22="Gasto",-G22,G22)),2))</f>
        <v>55437.74</v>
      </c>
      <c r="L22" s="2">
        <f>IF(G22="","",ROUND(L21+IF(LEFT(E22,4)="2102",G22,IF(J22="BI-Ahorro",-G22,0)),2))</f>
        <v>9189.57</v>
      </c>
      <c r="M22" t="inlineStr" s="0">
        <is>
          <t>AUT-20260127-021</t>
        </is>
      </c>
      <c r="N22" t="inlineStr" s="0">
        <is>
          <t>00-Administración</t>
        </is>
      </c>
      <c r="O22" t="inlineStr" s="0">
        <is>
          <t/>
        </is>
      </c>
    </row>
    <row r="23">
      <c r="A23" t="inlineStr" s="0">
        <is>
          <t>ALT-26-022</t>
        </is>
      </c>
      <c r="B23" t="inlineStr" s="0">
        <is>
          <t>2026-01-28</t>
        </is>
      </c>
      <c r="C23" t="inlineStr" s="0">
        <is>
          <t>enero</t>
        </is>
      </c>
      <c r="D23" t="inlineStr" s="0">
        <is>
          <t>Compra cartel de bienvenida</t>
        </is>
      </c>
      <c r="E23" t="inlineStr" s="0">
        <is>
          <t>5203 - Papelería, útiles y suministros</t>
        </is>
      </c>
      <c r="F23" t="str" s="0">
        <f>IF(E23="","",IFERROR(VLOOKUP(E23,Config!$F$2:$G$60,2,FALSE),"Gasto"))</f>
        <v>Gasto</v>
      </c>
      <c r="G23" s="2">
        <v>250.0</v>
      </c>
      <c r="H23" s="2">
        <f>IF(G23="","",IF(IFERROR(VLOOKUP(E23,Config!$F$2:$H$60,3,FALSE),"Exento")="Afecto",ROUND(G23-(G23/1.12),2),0))</f>
        <v>26.79</v>
      </c>
      <c r="I23" s="2">
        <f>IF(G23="","",ROUND(G23-H23,2))</f>
        <v>223.21</v>
      </c>
      <c r="J23" t="inlineStr" s="0">
        <is>
          <t>BI- Monetaria</t>
        </is>
      </c>
      <c r="K23" s="3">
        <f>IF(G23="","",ROUND(K22+IF(J23="BI-Ahorro",0,IF(F23="Gasto",-G23,G23)),2))</f>
        <v>55187.74</v>
      </c>
      <c r="L23" s="2">
        <f>IF(G23="","",ROUND(L22+IF(LEFT(E23,4)="2102",G23,IF(J23="BI-Ahorro",-G23,0)),2))</f>
        <v>9189.57</v>
      </c>
      <c r="M23" t="inlineStr" s="0">
        <is>
          <t>AUT-20260128-022</t>
        </is>
      </c>
      <c r="N23" t="inlineStr" s="0">
        <is>
          <t>00-Administración</t>
        </is>
      </c>
      <c r="O23" t="inlineStr" s="0">
        <is>
          <t/>
        </is>
      </c>
    </row>
    <row r="24">
      <c r="A24" t="inlineStr" s="0">
        <is>
          <t>ALT-26-023</t>
        </is>
      </c>
      <c r="B24" t="inlineStr" s="0">
        <is>
          <t>2026-01-28</t>
        </is>
      </c>
      <c r="C24" t="inlineStr" s="0">
        <is>
          <t>enero</t>
        </is>
      </c>
      <c r="D24" t="inlineStr" s="0">
        <is>
          <t>Compra de rodillos plásticos</t>
        </is>
      </c>
      <c r="E24" t="inlineStr" s="0">
        <is>
          <t>5203 - Papelería, útiles y suministros</t>
        </is>
      </c>
      <c r="F24" t="str" s="0">
        <f>IF(E24="","",IFERROR(VLOOKUP(E24,Config!$F$2:$G$60,2,FALSE),"Gasto"))</f>
        <v>Gasto</v>
      </c>
      <c r="G24" s="2">
        <v>80.0</v>
      </c>
      <c r="H24" s="2">
        <f>IF(G24="","",IF(IFERROR(VLOOKUP(E24,Config!$F$2:$H$60,3,FALSE),"Exento")="Afecto",ROUND(G24-(G24/1.12),2),0))</f>
        <v>8.57</v>
      </c>
      <c r="I24" s="2">
        <f>IF(G24="","",ROUND(G24-H24,2))</f>
        <v>71.43</v>
      </c>
      <c r="J24" t="inlineStr" s="0">
        <is>
          <t>BI- Monetaria</t>
        </is>
      </c>
      <c r="K24" s="3">
        <f>IF(G24="","",ROUND(K23+IF(J24="BI-Ahorro",0,IF(F24="Gasto",-G24,G24)),2))</f>
        <v>55107.74</v>
      </c>
      <c r="L24" s="2">
        <f>IF(G24="","",ROUND(L23+IF(LEFT(E24,4)="2102",G24,IF(J24="BI-Ahorro",-G24,0)),2))</f>
        <v>9189.57</v>
      </c>
      <c r="M24" t="inlineStr" s="0">
        <is>
          <t>AUT-20260128-023</t>
        </is>
      </c>
      <c r="N24" t="inlineStr" s="0">
        <is>
          <t>00-Administración</t>
        </is>
      </c>
      <c r="O24" t="inlineStr" s="0">
        <is>
          <t/>
        </is>
      </c>
    </row>
    <row r="25">
      <c r="A25" t="inlineStr" s="0">
        <is>
          <t>ALT-26-024</t>
        </is>
      </c>
      <c r="B25" t="inlineStr" s="0">
        <is>
          <t>2026-01-29</t>
        </is>
      </c>
      <c r="C25" t="inlineStr" s="0">
        <is>
          <t>enero</t>
        </is>
      </c>
      <c r="D25" t="inlineStr" s="0">
        <is>
          <t>Compra de ganchos colgadores</t>
        </is>
      </c>
      <c r="E25" t="inlineStr" s="0">
        <is>
          <t>5203 - Papelería, útiles y suministros</t>
        </is>
      </c>
      <c r="F25" t="str" s="0">
        <f>IF(E25="","",IFERROR(VLOOKUP(E25,Config!$F$2:$G$60,2,FALSE),"Gasto"))</f>
        <v>Gasto</v>
      </c>
      <c r="G25" s="2">
        <v>200.0</v>
      </c>
      <c r="H25" s="2">
        <f>IF(G25="","",IF(IFERROR(VLOOKUP(E25,Config!$F$2:$H$60,3,FALSE),"Exento")="Afecto",ROUND(G25-(G25/1.12),2),0))</f>
        <v>21.43</v>
      </c>
      <c r="I25" s="2">
        <f>IF(G25="","",ROUND(G25-H25,2))</f>
        <v>178.57</v>
      </c>
      <c r="J25" t="inlineStr" s="0">
        <is>
          <t>BI- Monetaria</t>
        </is>
      </c>
      <c r="K25" s="3">
        <f>IF(G25="","",ROUND(K24+IF(J25="BI-Ahorro",0,IF(F25="Gasto",-G25,G25)),2))</f>
        <v>54907.74</v>
      </c>
      <c r="L25" s="2">
        <f>IF(G25="","",ROUND(L24+IF(LEFT(E25,4)="2102",G25,IF(J25="BI-Ahorro",-G25,0)),2))</f>
        <v>9189.57</v>
      </c>
      <c r="M25" t="inlineStr" s="0">
        <is>
          <t>AUT-20260129-024</t>
        </is>
      </c>
      <c r="N25" t="inlineStr" s="0">
        <is>
          <t>00-Administración</t>
        </is>
      </c>
      <c r="O25" t="inlineStr" s="0">
        <is>
          <t/>
        </is>
      </c>
    </row>
    <row r="26">
      <c r="A26" t="inlineStr" s="0">
        <is>
          <t>ALT-26-025</t>
        </is>
      </c>
      <c r="B26" t="inlineStr" s="0">
        <is>
          <t>2026-01-31</t>
        </is>
      </c>
      <c r="C26" t="inlineStr" s="0">
        <is>
          <t>enero</t>
        </is>
      </c>
      <c r="D26" t="inlineStr" s="0">
        <is>
          <t>Transferencia</t>
        </is>
      </c>
      <c r="E26" t="inlineStr" s="0">
        <is>
          <t>1100 - Activo Corriente</t>
        </is>
      </c>
      <c r="F26" t="str" s="0">
        <f>IF(E26="","",IFERROR(VLOOKUP(E26,Config!$F$2:$G$60,2,FALSE),"Gasto"))</f>
        <v>Activo</v>
      </c>
      <c r="G26" s="2">
        <v>100.0</v>
      </c>
      <c r="H26" s="2">
        <f>IF(G26="","",IF(IFERROR(VLOOKUP(E26,Config!$F$2:$H$60,3,FALSE),"Exento")="Afecto",ROUND(G26-(G26/1.12),2),0))</f>
        <v>0.0</v>
      </c>
      <c r="I26" s="2">
        <f>IF(G26="","",ROUND(G26-H26,2))</f>
        <v>100.0</v>
      </c>
      <c r="J26" t="inlineStr" s="0">
        <is>
          <t>BI- Monetaria</t>
        </is>
      </c>
      <c r="K26" s="3">
        <f>IF(G26="","",ROUND(K25+IF(J26="BI-Ahorro",0,IF(F26="Gasto",-G26,G26)),2))</f>
        <v>55007.74</v>
      </c>
      <c r="L26" s="2">
        <f>IF(G26="","",ROUND(L25+IF(LEFT(E26,4)="2102",G26,IF(J26="BI-Ahorro",-G26,0)),2))</f>
        <v>9189.57</v>
      </c>
      <c r="M26" t="inlineStr" s="0">
        <is>
          <t>AUT-20260131-025</t>
        </is>
      </c>
      <c r="N26" t="inlineStr" s="0">
        <is>
          <t>00-Administración</t>
        </is>
      </c>
      <c r="O26" t="inlineStr" s="0">
        <is>
          <t/>
        </is>
      </c>
    </row>
    <row r="27">
      <c r="A27" t="inlineStr" s="0">
        <is>
          <t>ALT-26-026</t>
        </is>
      </c>
      <c r="B27" t="inlineStr" s="0">
        <is>
          <t>2026-02-03</t>
        </is>
      </c>
      <c r="C27" t="inlineStr" s="0">
        <is>
          <t>febrero</t>
        </is>
      </c>
      <c r="D27" t="inlineStr" s="0">
        <is>
          <t>Cobro mes de febrero Andrei González</t>
        </is>
      </c>
      <c r="E27" t="inlineStr" s="0">
        <is>
          <t>4102 - Colegiaturas Mensuales</t>
        </is>
      </c>
      <c r="F27" t="str" s="0">
        <f>IF(E27="","",IFERROR(VLOOKUP(E27,Config!$F$2:$G$60,2,FALSE),"Gasto"))</f>
        <v>Ingreso</v>
      </c>
      <c r="G27" s="2">
        <v>3800.0</v>
      </c>
      <c r="H27" s="2">
        <f>IF(G27="","",IF(IFERROR(VLOOKUP(E27,Config!$F$2:$H$60,3,FALSE),"Exento")="Afecto",ROUND(G27-(G27/1.12),2),0))</f>
        <v>0.0</v>
      </c>
      <c r="I27" s="2">
        <f>IF(G27="","",ROUND(G27-H27,2))</f>
        <v>3800.0</v>
      </c>
      <c r="J27" t="inlineStr" s="0">
        <is>
          <t>BI- Monetaria</t>
        </is>
      </c>
      <c r="K27" s="3">
        <f>IF(G27="","",ROUND(K26+IF(J27="BI-Ahorro",0,IF(F27="Gasto",-G27,G27)),2))</f>
        <v>58807.74</v>
      </c>
      <c r="L27" s="2">
        <f>IF(G27="","",ROUND(L26+IF(LEFT(E27,4)="2102",G27,IF(J27="BI-Ahorro",-G27,0)),2))</f>
        <v>9189.57</v>
      </c>
      <c r="M27" t="inlineStr" s="0">
        <is>
          <t>AUT-20260203-026</t>
        </is>
      </c>
      <c r="N27" t="inlineStr" s="0">
        <is>
          <t>01-Pre-Primaria / 02-Primaria</t>
        </is>
      </c>
      <c r="O27" t="inlineStr" s="0">
        <is>
          <t/>
        </is>
      </c>
    </row>
    <row r="28">
      <c r="A28" t="inlineStr" s="0">
        <is>
          <t>ALT-26-027</t>
        </is>
      </c>
      <c r="B28" t="inlineStr" s="0">
        <is>
          <t>2026-02-03</t>
        </is>
      </c>
      <c r="C28" t="inlineStr" s="0">
        <is>
          <t>febrero</t>
        </is>
      </c>
      <c r="D28" t="inlineStr" s="0">
        <is>
          <t>Cobro mes de febrero Gabriel Ruíz</t>
        </is>
      </c>
      <c r="E28" t="inlineStr" s="0">
        <is>
          <t>4102 - Colegiaturas Mensuales</t>
        </is>
      </c>
      <c r="F28" t="str" s="0">
        <f>IF(E28="","",IFERROR(VLOOKUP(E28,Config!$F$2:$G$60,2,FALSE),"Gasto"))</f>
        <v>Ingreso</v>
      </c>
      <c r="G28" s="2">
        <v>9300.0</v>
      </c>
      <c r="H28" s="2">
        <f>IF(G28="","",IF(IFERROR(VLOOKUP(E28,Config!$F$2:$H$60,3,FALSE),"Exento")="Afecto",ROUND(G28-(G28/1.12),2),0))</f>
        <v>0.0</v>
      </c>
      <c r="I28" s="2">
        <f>IF(G28="","",ROUND(G28-H28,2))</f>
        <v>9300.0</v>
      </c>
      <c r="J28" t="inlineStr" s="0">
        <is>
          <t>BI- Monetaria</t>
        </is>
      </c>
      <c r="K28" s="3">
        <f>IF(G28="","",ROUND(K27+IF(J28="BI-Ahorro",0,IF(F28="Gasto",-G28,G28)),2))</f>
        <v>68107.74</v>
      </c>
      <c r="L28" s="2">
        <f>IF(G28="","",ROUND(L27+IF(LEFT(E28,4)="2102",G28,IF(J28="BI-Ahorro",-G28,0)),2))</f>
        <v>9189.57</v>
      </c>
      <c r="M28" t="inlineStr" s="0">
        <is>
          <t>AUT-20260203-027</t>
        </is>
      </c>
      <c r="N28" t="inlineStr" s="0">
        <is>
          <t>01-Pre-Primaria / 02-Primaria</t>
        </is>
      </c>
      <c r="O28" t="inlineStr" s="0">
        <is>
          <t/>
        </is>
      </c>
    </row>
    <row r="29">
      <c r="A29" t="inlineStr" s="0">
        <is>
          <t>ALT-26-028</t>
        </is>
      </c>
      <c r="B29" t="inlineStr" s="0">
        <is>
          <t>2026-02-03</t>
        </is>
      </c>
      <c r="C29" t="inlineStr" s="0">
        <is>
          <t>febrero</t>
        </is>
      </c>
      <c r="D29" t="inlineStr" s="0">
        <is>
          <t>Cobro mes de febrero Adriana García</t>
        </is>
      </c>
      <c r="E29" t="inlineStr" s="0">
        <is>
          <t>4102 - Colegiaturas Mensuales</t>
        </is>
      </c>
      <c r="F29" t="str" s="0">
        <f>IF(E29="","",IFERROR(VLOOKUP(E29,Config!$F$2:$G$60,2,FALSE),"Gasto"))</f>
        <v>Ingreso</v>
      </c>
      <c r="G29" s="2">
        <v>9300.0</v>
      </c>
      <c r="H29" s="2">
        <f>IF(G29="","",IF(IFERROR(VLOOKUP(E29,Config!$F$2:$H$60,3,FALSE),"Exento")="Afecto",ROUND(G29-(G29/1.12),2),0))</f>
        <v>0.0</v>
      </c>
      <c r="I29" s="2">
        <f>IF(G29="","",ROUND(G29-H29,2))</f>
        <v>9300.0</v>
      </c>
      <c r="J29" t="inlineStr" s="0">
        <is>
          <t>BI- Monetaria</t>
        </is>
      </c>
      <c r="K29" s="3">
        <f>IF(G29="","",ROUND(K28+IF(J29="BI-Ahorro",0,IF(F29="Gasto",-G29,G29)),2))</f>
        <v>77407.74</v>
      </c>
      <c r="L29" s="2">
        <f>IF(G29="","",ROUND(L28+IF(LEFT(E29,4)="2102",G29,IF(J29="BI-Ahorro",-G29,0)),2))</f>
        <v>9189.57</v>
      </c>
      <c r="M29" t="inlineStr" s="0">
        <is>
          <t>AUT-20260203-028</t>
        </is>
      </c>
      <c r="N29" t="inlineStr" s="0">
        <is>
          <t>01-Pre-Primaria / 02-Primaria</t>
        </is>
      </c>
      <c r="O29" t="inlineStr" s="0">
        <is>
          <t/>
        </is>
      </c>
    </row>
    <row r="30">
      <c r="A30" t="inlineStr" s="0">
        <is>
          <t>ALT-26-029</t>
        </is>
      </c>
      <c r="B30" t="inlineStr" s="0">
        <is>
          <t>2026-02-03</t>
        </is>
      </c>
      <c r="C30" t="inlineStr" s="0">
        <is>
          <t>febrero</t>
        </is>
      </c>
      <c r="D30" t="inlineStr" s="0">
        <is>
          <t>Pago servicio Sergio contador</t>
        </is>
      </c>
      <c r="E30" t="inlineStr" s="0">
        <is>
          <t>5209 - Honorarios profesionales</t>
        </is>
      </c>
      <c r="F30" t="str" s="0">
        <f>IF(E30="","",IFERROR(VLOOKUP(E30,Config!$F$2:$G$60,2,FALSE),"Gasto"))</f>
        <v>Gasto</v>
      </c>
      <c r="G30" s="2">
        <v>350.0</v>
      </c>
      <c r="H30" s="2">
        <f>IF(G30="","",IF(IFERROR(VLOOKUP(E30,Config!$F$2:$H$60,3,FALSE),"Exento")="Afecto",ROUND(G30-(G30/1.12),2),0))</f>
        <v>37.5</v>
      </c>
      <c r="I30" s="2">
        <f>IF(G30="","",ROUND(G30-H30,2))</f>
        <v>312.5</v>
      </c>
      <c r="J30" t="inlineStr" s="0">
        <is>
          <t>BI- Monetaria</t>
        </is>
      </c>
      <c r="K30" s="3">
        <f>IF(G30="","",ROUND(K29+IF(J30="BI-Ahorro",0,IF(F30="Gasto",-G30,G30)),2))</f>
        <v>77057.74</v>
      </c>
      <c r="L30" s="2">
        <f>IF(G30="","",ROUND(L29+IF(LEFT(E30,4)="2102",G30,IF(J30="BI-Ahorro",-G30,0)),2))</f>
        <v>9189.57</v>
      </c>
      <c r="M30" t="inlineStr" s="0">
        <is>
          <t>AUT-20260203-029</t>
        </is>
      </c>
      <c r="N30" t="inlineStr" s="0">
        <is>
          <t>00-Administración</t>
        </is>
      </c>
      <c r="O30" t="inlineStr" s="0">
        <is>
          <t/>
        </is>
      </c>
    </row>
    <row r="31">
      <c r="A31" t="inlineStr" s="0">
        <is>
          <t>ALT-26-030</t>
        </is>
      </c>
      <c r="B31" t="inlineStr" s="0">
        <is>
          <t>2026-02-03</t>
        </is>
      </c>
      <c r="C31" t="inlineStr" s="0">
        <is>
          <t>febrero</t>
        </is>
      </c>
      <c r="D31" t="inlineStr" s="0">
        <is>
          <t>Pago proveedor de libros para ALTUS</t>
        </is>
      </c>
      <c r="E31" t="inlineStr" s="0">
        <is>
          <t>2101 - Proveedores Locales</t>
        </is>
      </c>
      <c r="F31" t="str" s="0">
        <f>IF(E31="","",IFERROR(VLOOKUP(E31,Config!$F$2:$G$60,2,FALSE),"Gasto"))</f>
        <v>Gasto</v>
      </c>
      <c r="G31" s="2">
        <v>1968.0</v>
      </c>
      <c r="H31" s="2">
        <f>IF(G31="","",IF(IFERROR(VLOOKUP(E31,Config!$F$2:$H$60,3,FALSE),"Exento")="Afecto",ROUND(G31-(G31/1.12),2),0))</f>
        <v>210.86</v>
      </c>
      <c r="I31" s="2">
        <f>IF(G31="","",ROUND(G31-H31,2))</f>
        <v>1757.14</v>
      </c>
      <c r="J31" t="inlineStr" s="0">
        <is>
          <t>BI- Monetaria</t>
        </is>
      </c>
      <c r="K31" s="3">
        <f>IF(G31="","",ROUND(K30+IF(J31="BI-Ahorro",0,IF(F31="Gasto",-G31,G31)),2))</f>
        <v>75089.74</v>
      </c>
      <c r="L31" s="2">
        <f>IF(G31="","",ROUND(L30+IF(LEFT(E31,4)="2102",G31,IF(J31="BI-Ahorro",-G31,0)),2))</f>
        <v>9189.57</v>
      </c>
      <c r="M31" t="inlineStr" s="0">
        <is>
          <t>AUT-20260203-030</t>
        </is>
      </c>
      <c r="N31" t="inlineStr" s="0">
        <is>
          <t>00-Administración</t>
        </is>
      </c>
      <c r="O31" t="inlineStr" s="0">
        <is>
          <t/>
        </is>
      </c>
    </row>
    <row r="32">
      <c r="A32" t="inlineStr" s="0">
        <is>
          <t>ALT-26-031</t>
        </is>
      </c>
      <c r="B32" t="inlineStr" s="0">
        <is>
          <t>2026-02-03</t>
        </is>
      </c>
      <c r="C32" t="inlineStr" s="0">
        <is>
          <t>febrero</t>
        </is>
      </c>
      <c r="D32" t="inlineStr" s="0">
        <is>
          <t>Pago proveedor de libros para ALTUS</t>
        </is>
      </c>
      <c r="E32" t="inlineStr" s="0">
        <is>
          <t>2101 - Proveedores Locales</t>
        </is>
      </c>
      <c r="F32" t="str" s="0">
        <f>IF(E32="","",IFERROR(VLOOKUP(E32,Config!$F$2:$G$60,2,FALSE),"Gasto"))</f>
        <v>Gasto</v>
      </c>
      <c r="G32" s="2">
        <v>1377.0</v>
      </c>
      <c r="H32" s="2">
        <f>IF(G32="","",IF(IFERROR(VLOOKUP(E32,Config!$F$2:$H$60,3,FALSE),"Exento")="Afecto",ROUND(G32-(G32/1.12),2),0))</f>
        <v>147.54</v>
      </c>
      <c r="I32" s="2">
        <f>IF(G32="","",ROUND(G32-H32,2))</f>
        <v>1229.46</v>
      </c>
      <c r="J32" t="inlineStr" s="0">
        <is>
          <t>BI- Monetaria</t>
        </is>
      </c>
      <c r="K32" s="3">
        <f>IF(G32="","",ROUND(K31+IF(J32="BI-Ahorro",0,IF(F32="Gasto",-G32,G32)),2))</f>
        <v>73712.74</v>
      </c>
      <c r="L32" s="2">
        <f>IF(G32="","",ROUND(L31+IF(LEFT(E32,4)="2102",G32,IF(J32="BI-Ahorro",-G32,0)),2))</f>
        <v>9189.57</v>
      </c>
      <c r="M32" t="inlineStr" s="0">
        <is>
          <t>AUT-20260203-031</t>
        </is>
      </c>
      <c r="N32" t="inlineStr" s="0">
        <is>
          <t>00-Administración</t>
        </is>
      </c>
      <c r="O32" t="inlineStr" s="0">
        <is>
          <t/>
        </is>
      </c>
    </row>
    <row r="33">
      <c r="A33" t="inlineStr" s="0">
        <is>
          <t>ALT-26-032</t>
        </is>
      </c>
      <c r="B33" t="inlineStr" s="0">
        <is>
          <t>2026-02-05</t>
        </is>
      </c>
      <c r="C33" t="inlineStr" s="0">
        <is>
          <t>febrero</t>
        </is>
      </c>
      <c r="D33" t="inlineStr" s="0">
        <is>
          <t>Cobro mensualidad Luís Felipe Guzmán</t>
        </is>
      </c>
      <c r="E33" t="inlineStr" s="0">
        <is>
          <t>4102 - Colegiaturas Mensuales</t>
        </is>
      </c>
      <c r="F33" t="str" s="0">
        <f>IF(E33="","",IFERROR(VLOOKUP(E33,Config!$F$2:$G$60,2,FALSE),"Gasto"))</f>
        <v>Ingreso</v>
      </c>
      <c r="G33" s="2">
        <v>9300.0</v>
      </c>
      <c r="H33" s="2">
        <f>IF(G33="","",IF(IFERROR(VLOOKUP(E33,Config!$F$2:$H$60,3,FALSE),"Exento")="Afecto",ROUND(G33-(G33/1.12),2),0))</f>
        <v>0.0</v>
      </c>
      <c r="I33" s="2">
        <f>IF(G33="","",ROUND(G33-H33,2))</f>
        <v>9300.0</v>
      </c>
      <c r="J33" t="inlineStr" s="0">
        <is>
          <t>BI- Monetaria</t>
        </is>
      </c>
      <c r="K33" s="3">
        <f>IF(G33="","",ROUND(K32+IF(J33="BI-Ahorro",0,IF(F33="Gasto",-G33,G33)),2))</f>
        <v>83012.74</v>
      </c>
      <c r="L33" s="2">
        <f>IF(G33="","",ROUND(L32+IF(LEFT(E33,4)="2102",G33,IF(J33="BI-Ahorro",-G33,0)),2))</f>
        <v>9189.57</v>
      </c>
      <c r="M33" t="inlineStr" s="0">
        <is>
          <t>AUT-20260205-032</t>
        </is>
      </c>
      <c r="N33" t="inlineStr" s="0">
        <is>
          <t>01-Pre-Primaria / 02-Primaria</t>
        </is>
      </c>
      <c r="O33" t="inlineStr" s="0">
        <is>
          <t/>
        </is>
      </c>
    </row>
    <row r="34">
      <c r="A34" t="inlineStr" s="0">
        <is>
          <t>ALT-26-033</t>
        </is>
      </c>
      <c r="B34" t="inlineStr" s="0">
        <is>
          <t>2026-02-05</t>
        </is>
      </c>
      <c r="C34" t="inlineStr" s="0">
        <is>
          <t>febrero</t>
        </is>
      </c>
      <c r="D34" t="inlineStr" s="0">
        <is>
          <t>Cobro mensualidad Mateo Toribio</t>
        </is>
      </c>
      <c r="E34" t="inlineStr" s="0">
        <is>
          <t>4102 - Colegiaturas Mensuales</t>
        </is>
      </c>
      <c r="F34" t="str" s="0">
        <f>IF(E34="","",IFERROR(VLOOKUP(E34,Config!$F$2:$G$60,2,FALSE),"Gasto"))</f>
        <v>Ingreso</v>
      </c>
      <c r="G34" s="2">
        <v>9300.0</v>
      </c>
      <c r="H34" s="2">
        <f>IF(G34="","",IF(IFERROR(VLOOKUP(E34,Config!$F$2:$H$60,3,FALSE),"Exento")="Afecto",ROUND(G34-(G34/1.12),2),0))</f>
        <v>0.0</v>
      </c>
      <c r="I34" s="2">
        <f>IF(G34="","",ROUND(G34-H34,2))</f>
        <v>9300.0</v>
      </c>
      <c r="J34" t="inlineStr" s="0">
        <is>
          <t>BI- Monetaria</t>
        </is>
      </c>
      <c r="K34" s="3">
        <f>IF(G34="","",ROUND(K33+IF(J34="BI-Ahorro",0,IF(F34="Gasto",-G34,G34)),2))</f>
        <v>92312.74</v>
      </c>
      <c r="L34" s="2">
        <f>IF(G34="","",ROUND(L33+IF(LEFT(E34,4)="2102",G34,IF(J34="BI-Ahorro",-G34,0)),2))</f>
        <v>9189.57</v>
      </c>
      <c r="M34" t="inlineStr" s="0">
        <is>
          <t>AUT-20260205-033</t>
        </is>
      </c>
      <c r="N34" t="inlineStr" s="0">
        <is>
          <t>01-Pre-Primaria / 02-Primaria</t>
        </is>
      </c>
      <c r="O34" t="inlineStr" s="0">
        <is>
          <t/>
        </is>
      </c>
    </row>
    <row r="35">
      <c r="A35" t="inlineStr" s="0">
        <is>
          <t>ALT-26-034</t>
        </is>
      </c>
      <c r="B35" t="inlineStr" s="0">
        <is>
          <t>2026-02-05</t>
        </is>
      </c>
      <c r="C35" t="inlineStr" s="0">
        <is>
          <t>febrero</t>
        </is>
      </c>
      <c r="D35" t="inlineStr" s="0">
        <is>
          <t>Pago saldo pendiente playeras polo ALTUS</t>
        </is>
      </c>
      <c r="E35" t="inlineStr" s="0">
        <is>
          <t>2101 - Proveedores Locales</t>
        </is>
      </c>
      <c r="F35" t="str" s="0">
        <f>IF(E35="","",IFERROR(VLOOKUP(E35,Config!$F$2:$G$60,2,FALSE),"Gasto"))</f>
        <v>Gasto</v>
      </c>
      <c r="G35" s="2">
        <v>1353.0</v>
      </c>
      <c r="H35" s="2">
        <f>IF(G35="","",IF(IFERROR(VLOOKUP(E35,Config!$F$2:$H$60,3,FALSE),"Exento")="Afecto",ROUND(G35-(G35/1.12),2),0))</f>
        <v>144.96</v>
      </c>
      <c r="I35" s="2">
        <f>IF(G35="","",ROUND(G35-H35,2))</f>
        <v>1208.04</v>
      </c>
      <c r="J35" t="inlineStr" s="0">
        <is>
          <t>BI- Monetaria</t>
        </is>
      </c>
      <c r="K35" s="3">
        <f>IF(G35="","",ROUND(K34+IF(J35="BI-Ahorro",0,IF(F35="Gasto",-G35,G35)),2))</f>
        <v>90959.74</v>
      </c>
      <c r="L35" s="2">
        <f>IF(G35="","",ROUND(L34+IF(LEFT(E35,4)="2102",G35,IF(J35="BI-Ahorro",-G35,0)),2))</f>
        <v>9189.57</v>
      </c>
      <c r="M35" t="inlineStr" s="0">
        <is>
          <t>AUT-20260205-034</t>
        </is>
      </c>
      <c r="N35" t="inlineStr" s="0">
        <is>
          <t>00-Administración</t>
        </is>
      </c>
      <c r="O35" t="inlineStr" s="0">
        <is>
          <t/>
        </is>
      </c>
    </row>
    <row r="36">
      <c r="A36" t="inlineStr" s="0">
        <is>
          <t>ALT-26-035</t>
        </is>
      </c>
      <c r="B36" t="inlineStr" s="0">
        <is>
          <t>2026-02-06</t>
        </is>
      </c>
      <c r="C36" t="inlineStr" s="0">
        <is>
          <t>febrero</t>
        </is>
      </c>
      <c r="D36" t="inlineStr" s="0">
        <is>
          <t>Cobro mensualidad Günther Márquez</t>
        </is>
      </c>
      <c r="E36" t="inlineStr" s="0">
        <is>
          <t>4102 - Colegiaturas Mensuales</t>
        </is>
      </c>
      <c r="F36" t="str" s="0">
        <f>IF(E36="","",IFERROR(VLOOKUP(E36,Config!$F$2:$G$60,2,FALSE),"Gasto"))</f>
        <v>Ingreso</v>
      </c>
      <c r="G36" s="2">
        <v>3800.0</v>
      </c>
      <c r="H36" s="2">
        <f>IF(G36="","",IF(IFERROR(VLOOKUP(E36,Config!$F$2:$H$60,3,FALSE),"Exento")="Afecto",ROUND(G36-(G36/1.12),2),0))</f>
        <v>0.0</v>
      </c>
      <c r="I36" s="2">
        <f>IF(G36="","",ROUND(G36-H36,2))</f>
        <v>3800.0</v>
      </c>
      <c r="J36" t="inlineStr" s="0">
        <is>
          <t>BI- Monetaria</t>
        </is>
      </c>
      <c r="K36" s="3">
        <f>IF(G36="","",ROUND(K35+IF(J36="BI-Ahorro",0,IF(F36="Gasto",-G36,G36)),2))</f>
        <v>94759.74</v>
      </c>
      <c r="L36" s="2">
        <f>IF(G36="","",ROUND(L35+IF(LEFT(E36,4)="2102",G36,IF(J36="BI-Ahorro",-G36,0)),2))</f>
        <v>9189.57</v>
      </c>
      <c r="M36" t="inlineStr" s="0">
        <is>
          <t>AUT-20260206-035</t>
        </is>
      </c>
      <c r="N36" t="inlineStr" s="0">
        <is>
          <t>01-Pre-Primaria / 02-Primaria</t>
        </is>
      </c>
      <c r="O36" t="inlineStr" s="0">
        <is>
          <t/>
        </is>
      </c>
    </row>
    <row r="37">
      <c r="A37" t="inlineStr" s="0">
        <is>
          <t>ALT-26-036</t>
        </is>
      </c>
      <c r="B37" t="inlineStr" s="0">
        <is>
          <t>2026-02-06</t>
        </is>
      </c>
      <c r="C37" t="inlineStr" s="0">
        <is>
          <t>febrero</t>
        </is>
      </c>
      <c r="D37" t="inlineStr" s="0">
        <is>
          <t>Cobro anticipo 2/6 inscripcion Günther Márquez</t>
        </is>
      </c>
      <c r="E37" t="inlineStr" s="0">
        <is>
          <t>4101 - Inscripciones</t>
        </is>
      </c>
      <c r="F37" t="str" s="0">
        <f>IF(E37="","",IFERROR(VLOOKUP(E37,Config!$F$2:$G$60,2,FALSE),"Gasto"))</f>
        <v>Ingreso</v>
      </c>
      <c r="G37" s="2">
        <v>1716.66</v>
      </c>
      <c r="H37" s="2">
        <f>IF(G37="","",IF(IFERROR(VLOOKUP(E37,Config!$F$2:$H$60,3,FALSE),"Exento")="Afecto",ROUND(G37-(G37/1.12),2),0))</f>
        <v>0.0</v>
      </c>
      <c r="I37" s="2">
        <f>IF(G37="","",ROUND(G37-H37,2))</f>
        <v>1716.66</v>
      </c>
      <c r="J37" t="inlineStr" s="0">
        <is>
          <t>BI- Monetaria</t>
        </is>
      </c>
      <c r="K37" s="3">
        <f>IF(G37="","",ROUND(K36+IF(J37="BI-Ahorro",0,IF(F37="Gasto",-G37,G37)),2))</f>
        <v>96476.4</v>
      </c>
      <c r="L37" s="2">
        <f>IF(G37="","",ROUND(L36+IF(LEFT(E37,4)="2102",G37,IF(J37="BI-Ahorro",-G37,0)),2))</f>
        <v>9189.57</v>
      </c>
      <c r="M37" t="inlineStr" s="0">
        <is>
          <t>AUT-20260206-036</t>
        </is>
      </c>
      <c r="N37" t="inlineStr" s="0">
        <is>
          <t>01-Pre-Primaria / 02-Primaria</t>
        </is>
      </c>
      <c r="O37" t="inlineStr" s="0">
        <is>
          <t/>
        </is>
      </c>
    </row>
    <row r="38">
      <c r="A38" t="inlineStr" s="0">
        <is>
          <t>ALT-26-037</t>
        </is>
      </c>
      <c r="B38" t="inlineStr" s="0">
        <is>
          <t>2026-02-07</t>
        </is>
      </c>
      <c r="C38" t="inlineStr" s="0">
        <is>
          <t>febrero</t>
        </is>
      </c>
      <c r="D38" t="inlineStr" s="0">
        <is>
          <t>Pago anticipo excursión a Granja</t>
        </is>
      </c>
      <c r="E38" t="inlineStr" s="0">
        <is>
          <t>5205 - Actividades y excursiones</t>
        </is>
      </c>
      <c r="F38" t="str" s="0">
        <f>IF(E38="","",IFERROR(VLOOKUP(E38,Config!$F$2:$G$60,2,FALSE),"Gasto"))</f>
        <v>Gasto</v>
      </c>
      <c r="G38" s="2">
        <v>115.0</v>
      </c>
      <c r="H38" s="2">
        <f>IF(G38="","",IF(IFERROR(VLOOKUP(E38,Config!$F$2:$H$60,3,FALSE),"Exento")="Afecto",ROUND(G38-(G38/1.12),2),0))</f>
        <v>12.32</v>
      </c>
      <c r="I38" s="2">
        <f>IF(G38="","",ROUND(G38-H38,2))</f>
        <v>102.68</v>
      </c>
      <c r="J38" t="inlineStr" s="0">
        <is>
          <t>BI- Monetaria</t>
        </is>
      </c>
      <c r="K38" s="3">
        <f>IF(G38="","",ROUND(K37+IF(J38="BI-Ahorro",0,IF(F38="Gasto",-G38,G38)),2))</f>
        <v>96361.4</v>
      </c>
      <c r="L38" s="2">
        <f>IF(G38="","",ROUND(L37+IF(LEFT(E38,4)="2102",G38,IF(J38="BI-Ahorro",-G38,0)),2))</f>
        <v>9189.57</v>
      </c>
      <c r="M38" t="inlineStr" s="0">
        <is>
          <t>AUT-20260207-037</t>
        </is>
      </c>
      <c r="N38" t="inlineStr" s="0">
        <is>
          <t>00-Administración</t>
        </is>
      </c>
      <c r="O38" t="inlineStr" s="0">
        <is>
          <t/>
        </is>
      </c>
    </row>
    <row r="39">
      <c r="A39" t="inlineStr" s="0">
        <is>
          <t>ALT-26-038</t>
        </is>
      </c>
      <c r="B39" t="inlineStr" s="0">
        <is>
          <t>2026-02-09</t>
        </is>
      </c>
      <c r="C39" t="inlineStr" s="0">
        <is>
          <t>febrero</t>
        </is>
      </c>
      <c r="D39" t="inlineStr" s="0">
        <is>
          <t>Pago licencia ambiental</t>
        </is>
      </c>
      <c r="E39" t="inlineStr" s="0">
        <is>
          <t>5210 - Impuestos, tasas y arbitrios</t>
        </is>
      </c>
      <c r="F39" t="str" s="0">
        <f>IF(E39="","",IFERROR(VLOOKUP(E39,Config!$F$2:$G$60,2,FALSE),"Gasto"))</f>
        <v>Gasto</v>
      </c>
      <c r="G39" s="2">
        <v>400.0</v>
      </c>
      <c r="H39" s="2">
        <f>IF(G39="","",IF(IFERROR(VLOOKUP(E39,Config!$F$2:$H$60,3,FALSE),"Exento")="Afecto",ROUND(G39-(G39/1.12),2),0))</f>
        <v>0.0</v>
      </c>
      <c r="I39" s="2">
        <f>IF(G39="","",ROUND(G39-H39,2))</f>
        <v>400.0</v>
      </c>
      <c r="J39" t="inlineStr" s="0">
        <is>
          <t>BI- Monetaria</t>
        </is>
      </c>
      <c r="K39" s="3">
        <f>IF(G39="","",ROUND(K38+IF(J39="BI-Ahorro",0,IF(F39="Gasto",-G39,G39)),2))</f>
        <v>95961.4</v>
      </c>
      <c r="L39" s="2">
        <f>IF(G39="","",ROUND(L38+IF(LEFT(E39,4)="2102",G39,IF(J39="BI-Ahorro",-G39,0)),2))</f>
        <v>9189.57</v>
      </c>
      <c r="M39" t="inlineStr" s="0">
        <is>
          <t>AUT-20260209-038</t>
        </is>
      </c>
      <c r="N39" t="inlineStr" s="0">
        <is>
          <t>00-Administración</t>
        </is>
      </c>
      <c r="O39" t="inlineStr" s="0">
        <is>
          <t/>
        </is>
      </c>
    </row>
    <row r="40">
      <c r="A40" t="inlineStr" s="0">
        <is>
          <t>ALT-26-039</t>
        </is>
      </c>
      <c r="B40" t="inlineStr" s="0">
        <is>
          <t>2026-02-10</t>
        </is>
      </c>
      <c r="C40" t="inlineStr" s="0">
        <is>
          <t>febrero</t>
        </is>
      </c>
      <c r="D40" t="inlineStr" s="0">
        <is>
          <t>Cobro pendiente libros Andrei</t>
        </is>
      </c>
      <c r="E40" t="inlineStr" s="0">
        <is>
          <t>2106 - Acreedores por Cuenta Ajena</t>
        </is>
      </c>
      <c r="F40" t="str" s="0">
        <f>IF(E40="","",IFERROR(VLOOKUP(E40,Config!$F$2:$G$60,2,FALSE),"Gasto"))</f>
        <v>Pasivo</v>
      </c>
      <c r="G40" s="2">
        <v>69.0</v>
      </c>
      <c r="H40" s="2">
        <f>IF(G40="","",IF(IFERROR(VLOOKUP(E40,Config!$F$2:$H$60,3,FALSE),"Exento")="Afecto",ROUND(G40-(G40/1.12),2),0))</f>
        <v>0.0</v>
      </c>
      <c r="I40" s="2">
        <f>IF(G40="","",ROUND(G40-H40,2))</f>
        <v>69.0</v>
      </c>
      <c r="J40" t="inlineStr" s="0">
        <is>
          <t>BI- Monetaria</t>
        </is>
      </c>
      <c r="K40" s="3">
        <f>IF(G40="","",ROUND(K39+IF(J40="BI-Ahorro",0,IF(F40="Gasto",-G40,G40)),2))</f>
        <v>96030.4</v>
      </c>
      <c r="L40" s="2">
        <f>IF(G40="","",ROUND(L39+IF(LEFT(E40,4)="2102",G40,IF(J40="BI-Ahorro",-G40,0)),2))</f>
        <v>9189.57</v>
      </c>
      <c r="M40" t="inlineStr" s="0">
        <is>
          <t>AUT-20260210-039</t>
        </is>
      </c>
      <c r="N40" t="inlineStr" s="0">
        <is>
          <t>00-Administración</t>
        </is>
      </c>
      <c r="O40" t="inlineStr" s="0">
        <is>
          <t/>
        </is>
      </c>
    </row>
    <row r="41">
      <c r="A41" t="inlineStr" s="0">
        <is>
          <t>ALT-26-040</t>
        </is>
      </c>
      <c r="B41" t="inlineStr" s="0">
        <is>
          <t>2026-02-11</t>
        </is>
      </c>
      <c r="C41" t="inlineStr" s="0">
        <is>
          <t>febrero</t>
        </is>
      </c>
      <c r="D41" t="inlineStr" s="0">
        <is>
          <t>Pago ISR</t>
        </is>
      </c>
      <c r="E41" t="inlineStr" s="0">
        <is>
          <t>2105 - ISR Retenciones por Pagar</t>
        </is>
      </c>
      <c r="F41" t="str" s="0">
        <f>IF(E41="","",IFERROR(VLOOKUP(E41,Config!$F$2:$G$60,2,FALSE),"Gasto"))</f>
        <v>Gasto</v>
      </c>
      <c r="G41" s="2">
        <v>375.85</v>
      </c>
      <c r="H41" s="2">
        <f>IF(G41="","",IF(IFERROR(VLOOKUP(E41,Config!$F$2:$H$60,3,FALSE),"Exento")="Afecto",ROUND(G41-(G41/1.12),2),0))</f>
        <v>0.0</v>
      </c>
      <c r="I41" s="2">
        <f>IF(G41="","",ROUND(G41-H41,2))</f>
        <v>375.85</v>
      </c>
      <c r="J41" t="inlineStr" s="0">
        <is>
          <t>BI- Monetaria</t>
        </is>
      </c>
      <c r="K41" s="3">
        <f>IF(G41="","",ROUND(K40+IF(J41="BI-Ahorro",0,IF(F41="Gasto",-G41,G41)),2))</f>
        <v>95654.55</v>
      </c>
      <c r="L41" s="2">
        <f>IF(G41="","",ROUND(L40+IF(LEFT(E41,4)="2102",G41,IF(J41="BI-Ahorro",-G41,0)),2))</f>
        <v>9189.57</v>
      </c>
      <c r="M41" t="inlineStr" s="0">
        <is>
          <t>AUT-20260211-040</t>
        </is>
      </c>
      <c r="N41" t="inlineStr" s="0">
        <is>
          <t>00-Administración</t>
        </is>
      </c>
      <c r="O41" t="inlineStr" s="0">
        <is>
          <t>Reclasificado a 2105 ISR Retenciones por Pagar</t>
        </is>
      </c>
    </row>
    <row r="42">
      <c r="A42" t="inlineStr" s="0">
        <is>
          <t>ALT-26-041</t>
        </is>
      </c>
      <c r="B42" t="inlineStr" s="0">
        <is>
          <t>2026-02-12</t>
        </is>
      </c>
      <c r="C42" t="inlineStr" s="0">
        <is>
          <t>febrero</t>
        </is>
      </c>
      <c r="D42" t="inlineStr" s="0">
        <is>
          <t>Pago servicios Lourdes + libros de actas</t>
        </is>
      </c>
      <c r="E42" t="inlineStr" s="0">
        <is>
          <t>5209 - Honorarios profesionales</t>
        </is>
      </c>
      <c r="F42" t="str" s="0">
        <f>IF(E42="","",IFERROR(VLOOKUP(E42,Config!$F$2:$G$60,2,FALSE),"Gasto"))</f>
        <v>Gasto</v>
      </c>
      <c r="G42" s="2">
        <v>1854.54</v>
      </c>
      <c r="H42" s="2">
        <f>IF(G42="","",IF(IFERROR(VLOOKUP(E42,Config!$F$2:$H$60,3,FALSE),"Exento")="Afecto",ROUND(G42-(G42/1.12),2),0))</f>
        <v>198.7</v>
      </c>
      <c r="I42" s="2">
        <f>IF(G42="","",ROUND(G42-H42,2))</f>
        <v>1655.84</v>
      </c>
      <c r="J42" t="inlineStr" s="0">
        <is>
          <t>BI- Monetaria</t>
        </is>
      </c>
      <c r="K42" s="3">
        <f>IF(G42="","",ROUND(K41+IF(J42="BI-Ahorro",0,IF(F42="Gasto",-G42,G42)),2))</f>
        <v>93800.01</v>
      </c>
      <c r="L42" s="2">
        <f>IF(G42="","",ROUND(L41+IF(LEFT(E42,4)="2102",G42,IF(J42="BI-Ahorro",-G42,0)),2))</f>
        <v>9189.57</v>
      </c>
      <c r="M42" t="inlineStr" s="0">
        <is>
          <t>AUT-20260212-041</t>
        </is>
      </c>
      <c r="N42" t="inlineStr" s="0">
        <is>
          <t>00-Administración</t>
        </is>
      </c>
      <c r="O42" t="inlineStr" s="0">
        <is>
          <t/>
        </is>
      </c>
    </row>
    <row r="43">
      <c r="A43" t="inlineStr" s="0">
        <is>
          <t>ALT-26-042</t>
        </is>
      </c>
      <c r="B43" t="inlineStr" s="0">
        <is>
          <t>2026-02-27</t>
        </is>
      </c>
      <c r="C43" t="inlineStr" s="0">
        <is>
          <t>febrero</t>
        </is>
      </c>
      <c r="D43" t="inlineStr" s="0">
        <is>
          <t>Compra sillas para comedor</t>
        </is>
      </c>
      <c r="E43" t="inlineStr" s="0">
        <is>
          <t>1501 - Mobiliario y Equipo</t>
        </is>
      </c>
      <c r="F43" t="str" s="0">
        <f>IF(E43="","",IFERROR(VLOOKUP(E43,Config!$F$2:$G$60,2,FALSE),"Gasto"))</f>
        <v>Gasto</v>
      </c>
      <c r="G43" s="2">
        <v>1700.0</v>
      </c>
      <c r="H43" s="2">
        <f>IF(G43="","",IF(IFERROR(VLOOKUP(E43,Config!$F$2:$H$60,3,FALSE),"Exento")="Afecto",ROUND(G43-(G43/1.12),2),0))</f>
        <v>182.14</v>
      </c>
      <c r="I43" s="2">
        <f>IF(G43="","",ROUND(G43-H43,2))</f>
        <v>1517.86</v>
      </c>
      <c r="J43" t="inlineStr" s="0">
        <is>
          <t>BI- Monetaria</t>
        </is>
      </c>
      <c r="K43" s="3">
        <f>IF(G43="","",ROUND(K42+IF(J43="BI-Ahorro",0,IF(F43="Gasto",-G43,G43)),2))</f>
        <v>92100.01</v>
      </c>
      <c r="L43" s="2">
        <f>IF(G43="","",ROUND(L42+IF(LEFT(E43,4)="2102",G43,IF(J43="BI-Ahorro",-G43,0)),2))</f>
        <v>9189.57</v>
      </c>
      <c r="M43" t="inlineStr" s="0">
        <is>
          <t>AUT-20260227-042</t>
        </is>
      </c>
      <c r="N43" t="inlineStr" s="0">
        <is>
          <t>00-Administración</t>
        </is>
      </c>
      <c r="O43" t="inlineStr" s="0">
        <is>
          <t/>
        </is>
      </c>
    </row>
    <row r="44">
      <c r="A44" t="inlineStr" s="0">
        <is>
          <t>ALT-26-043</t>
        </is>
      </c>
      <c r="B44" t="inlineStr" s="0">
        <is>
          <t>2026-02-27</t>
        </is>
      </c>
      <c r="C44" t="inlineStr" s="0">
        <is>
          <t>febrero</t>
        </is>
      </c>
      <c r="D44" t="inlineStr" s="0">
        <is>
          <t>Pago seguro escolar</t>
        </is>
      </c>
      <c r="E44" t="inlineStr" s="0">
        <is>
          <t>2101 - Proveedores Locales</t>
        </is>
      </c>
      <c r="F44" t="str" s="0">
        <f>IF(E44="","",IFERROR(VLOOKUP(E44,Config!$F$2:$G$60,2,FALSE),"Gasto"))</f>
        <v>Gasto</v>
      </c>
      <c r="G44" s="2">
        <v>882.0</v>
      </c>
      <c r="H44" s="2">
        <f>IF(G44="","",IF(IFERROR(VLOOKUP(E44,Config!$F$2:$H$60,3,FALSE),"Exento")="Afecto",ROUND(G44-(G44/1.12),2),0))</f>
        <v>94.5</v>
      </c>
      <c r="I44" s="2">
        <f>IF(G44="","",ROUND(G44-H44,2))</f>
        <v>787.5</v>
      </c>
      <c r="J44" t="inlineStr" s="0">
        <is>
          <t>BI- Monetaria</t>
        </is>
      </c>
      <c r="K44" s="3">
        <f>IF(G44="","",ROUND(K43+IF(J44="BI-Ahorro",0,IF(F44="Gasto",-G44,G44)),2))</f>
        <v>91218.01</v>
      </c>
      <c r="L44" s="2">
        <f>IF(G44="","",ROUND(L43+IF(LEFT(E44,4)="2102",G44,IF(J44="BI-Ahorro",-G44,0)),2))</f>
        <v>9189.57</v>
      </c>
      <c r="M44" t="inlineStr" s="0">
        <is>
          <t>AUT-20260227-043</t>
        </is>
      </c>
      <c r="N44" t="inlineStr" s="0">
        <is>
          <t>00-Administración</t>
        </is>
      </c>
      <c r="O44" t="inlineStr" s="0">
        <is>
          <t/>
        </is>
      </c>
    </row>
    <row r="45">
      <c r="A45" t="inlineStr" s="0">
        <is>
          <t>ALT-26-044</t>
        </is>
      </c>
      <c r="B45" t="inlineStr" s="0">
        <is>
          <t>2026-02-27</t>
        </is>
      </c>
      <c r="C45" t="inlineStr" s="0">
        <is>
          <t>febrero</t>
        </is>
      </c>
      <c r="D45" t="inlineStr" s="0">
        <is>
          <t>Pago mes de enero Lucía Montes</t>
        </is>
      </c>
      <c r="E45" t="inlineStr" s="0">
        <is>
          <t>5101 - Sueldos y Salarios</t>
        </is>
      </c>
      <c r="F45" t="str" s="0">
        <f>IF(E45="","",IFERROR(VLOOKUP(E45,Config!$F$2:$G$60,2,FALSE),"Gasto"))</f>
        <v>Gasto</v>
      </c>
      <c r="G45" s="2">
        <v>8587.64</v>
      </c>
      <c r="H45" s="2">
        <f>IF(G45="","",IF(IFERROR(VLOOKUP(E45,Config!$F$2:$H$60,3,FALSE),"Exento")="Afecto",ROUND(G45-(G45/1.12),2),0))</f>
        <v>0.0</v>
      </c>
      <c r="I45" s="2">
        <f>IF(G45="","",ROUND(G45-H45,2))</f>
        <v>8587.64</v>
      </c>
      <c r="J45" t="inlineStr" s="0">
        <is>
          <t>BI- Monetaria</t>
        </is>
      </c>
      <c r="K45" s="3">
        <f>IF(G45="","",ROUND(K44+IF(J45="BI-Ahorro",0,IF(F45="Gasto",-G45,G45)),2))</f>
        <v>82630.37</v>
      </c>
      <c r="L45" s="2">
        <f>IF(G45="","",ROUND(L44+IF(LEFT(E45,4)="2102",G45,IF(J45="BI-Ahorro",-G45,0)),2))</f>
        <v>9189.57</v>
      </c>
      <c r="M45" t="inlineStr" s="0">
        <is>
          <t>AUT-20260227-044</t>
        </is>
      </c>
      <c r="N45" t="inlineStr" s="0">
        <is>
          <t>00-Administración</t>
        </is>
      </c>
      <c r="O45" t="inlineStr" s="0">
        <is>
          <t/>
        </is>
      </c>
    </row>
    <row r="46">
      <c r="A46" t="inlineStr" s="0">
        <is>
          <t>ALT-26-045</t>
        </is>
      </c>
      <c r="B46" t="inlineStr" s="0">
        <is>
          <t>2026-02-27</t>
        </is>
      </c>
      <c r="C46" t="inlineStr" s="0">
        <is>
          <t>febrero</t>
        </is>
      </c>
      <c r="D46" t="inlineStr" s="0">
        <is>
          <t>Pago mes de enero Jessica Gudiel</t>
        </is>
      </c>
      <c r="E46" t="inlineStr" s="0">
        <is>
          <t>5101 - Sueldos y Salarios</t>
        </is>
      </c>
      <c r="F46" t="str" s="0">
        <f>IF(E46="","",IFERROR(VLOOKUP(E46,Config!$F$2:$G$60,2,FALSE),"Gasto"))</f>
        <v>Gasto</v>
      </c>
      <c r="G46" s="2">
        <v>5925.29</v>
      </c>
      <c r="H46" s="2">
        <f>IF(G46="","",IF(IFERROR(VLOOKUP(E46,Config!$F$2:$H$60,3,FALSE),"Exento")="Afecto",ROUND(G46-(G46/1.12),2),0))</f>
        <v>0.0</v>
      </c>
      <c r="I46" s="2">
        <f>IF(G46="","",ROUND(G46-H46,2))</f>
        <v>5925.29</v>
      </c>
      <c r="J46" t="inlineStr" s="0">
        <is>
          <t>BI- Monetaria</t>
        </is>
      </c>
      <c r="K46" s="3">
        <f>IF(G46="","",ROUND(K45+IF(J46="BI-Ahorro",0,IF(F46="Gasto",-G46,G46)),2))</f>
        <v>76705.08</v>
      </c>
      <c r="L46" s="2">
        <f>IF(G46="","",ROUND(L45+IF(LEFT(E46,4)="2102",G46,IF(J46="BI-Ahorro",-G46,0)),2))</f>
        <v>9189.57</v>
      </c>
      <c r="M46" t="inlineStr" s="0">
        <is>
          <t>AUT-20260227-045</t>
        </is>
      </c>
      <c r="N46" t="inlineStr" s="0">
        <is>
          <t>00-Administración</t>
        </is>
      </c>
      <c r="O46" t="inlineStr" s="0">
        <is>
          <t/>
        </is>
      </c>
    </row>
    <row r="47">
      <c r="A47" t="inlineStr" s="0">
        <is>
          <t>ALT-26-046</t>
        </is>
      </c>
      <c r="B47" t="inlineStr" s="0">
        <is>
          <t>2026-02-27</t>
        </is>
      </c>
      <c r="C47" t="inlineStr" s="0">
        <is>
          <t>febrero</t>
        </is>
      </c>
      <c r="D47" t="inlineStr" s="0">
        <is>
          <t>Pago mes de enero Geovanna Velázquez</t>
        </is>
      </c>
      <c r="E47" t="inlineStr" s="0">
        <is>
          <t>5101 - Sueldos y Salarios</t>
        </is>
      </c>
      <c r="F47" t="str" s="0">
        <f>IF(E47="","",IFERROR(VLOOKUP(E47,Config!$F$2:$G$60,2,FALSE),"Gasto"))</f>
        <v>Gasto</v>
      </c>
      <c r="G47" s="2">
        <v>4247.14</v>
      </c>
      <c r="H47" s="2">
        <f>IF(G47="","",IF(IFERROR(VLOOKUP(E47,Config!$F$2:$H$60,3,FALSE),"Exento")="Afecto",ROUND(G47-(G47/1.12),2),0))</f>
        <v>0.0</v>
      </c>
      <c r="I47" s="2">
        <f>IF(G47="","",ROUND(G47-H47,2))</f>
        <v>4247.14</v>
      </c>
      <c r="J47" t="inlineStr" s="0">
        <is>
          <t>BI- Monetaria</t>
        </is>
      </c>
      <c r="K47" s="3">
        <f>IF(G47="","",ROUND(K46+IF(J47="BI-Ahorro",0,IF(F47="Gasto",-G47,G47)),2))</f>
        <v>72457.94</v>
      </c>
      <c r="L47" s="2">
        <f>IF(G47="","",ROUND(L46+IF(LEFT(E47,4)="2102",G47,IF(J47="BI-Ahorro",-G47,0)),2))</f>
        <v>9189.57</v>
      </c>
      <c r="M47" t="inlineStr" s="0">
        <is>
          <t>AUT-20260227-046</t>
        </is>
      </c>
      <c r="N47" t="inlineStr" s="0">
        <is>
          <t>00-Administración</t>
        </is>
      </c>
      <c r="O47" t="inlineStr" s="0">
        <is>
          <t/>
        </is>
      </c>
    </row>
    <row r="48">
      <c r="A48" t="inlineStr" s="0">
        <is>
          <t>ALT-26-047</t>
        </is>
      </c>
      <c r="B48" t="inlineStr" s="0">
        <is>
          <t>2026-02-27</t>
        </is>
      </c>
      <c r="C48" t="inlineStr" s="0">
        <is>
          <t>febrero</t>
        </is>
      </c>
      <c r="D48" t="inlineStr" s="0">
        <is>
          <t>Pago mes de enero Suly Sajbochol</t>
        </is>
      </c>
      <c r="E48" t="inlineStr" s="0">
        <is>
          <t>5101 - Sueldos y Salarios</t>
        </is>
      </c>
      <c r="F48" t="str" s="0">
        <f>IF(E48="","",IFERROR(VLOOKUP(E48,Config!$F$2:$G$60,2,FALSE),"Gasto"))</f>
        <v>Gasto</v>
      </c>
      <c r="G48" s="2">
        <v>4247.14</v>
      </c>
      <c r="H48" s="2">
        <f>IF(G48="","",IF(IFERROR(VLOOKUP(E48,Config!$F$2:$H$60,3,FALSE),"Exento")="Afecto",ROUND(G48-(G48/1.12),2),0))</f>
        <v>0.0</v>
      </c>
      <c r="I48" s="2">
        <f>IF(G48="","",ROUND(G48-H48,2))</f>
        <v>4247.14</v>
      </c>
      <c r="J48" t="inlineStr" s="0">
        <is>
          <t>BI- Monetaria</t>
        </is>
      </c>
      <c r="K48" s="3">
        <f>IF(G48="","",ROUND(K47+IF(J48="BI-Ahorro",0,IF(F48="Gasto",-G48,G48)),2))</f>
        <v>68210.8</v>
      </c>
      <c r="L48" s="2">
        <f>IF(G48="","",ROUND(L47+IF(LEFT(E48,4)="2102",G48,IF(J48="BI-Ahorro",-G48,0)),2))</f>
        <v>9189.57</v>
      </c>
      <c r="M48" t="inlineStr" s="0">
        <is>
          <t>AUT-20260227-047</t>
        </is>
      </c>
      <c r="N48" t="inlineStr" s="0">
        <is>
          <t>00-Administración</t>
        </is>
      </c>
      <c r="O48" t="inlineStr" s="0">
        <is>
          <t/>
        </is>
      </c>
    </row>
    <row r="49">
      <c r="A49" t="inlineStr" s="0">
        <is>
          <t>ALT-26-048</t>
        </is>
      </c>
      <c r="B49" t="inlineStr" s="0">
        <is>
          <t>2026-02-27</t>
        </is>
      </c>
      <c r="C49" t="inlineStr" s="0">
        <is>
          <t>febrero</t>
        </is>
      </c>
      <c r="D49" t="inlineStr" s="0">
        <is>
          <t>Pago mes de enero Melissa Peña</t>
        </is>
      </c>
      <c r="E49" t="inlineStr" s="0">
        <is>
          <t>5101 - Sueldos y Salarios</t>
        </is>
      </c>
      <c r="F49" t="str" s="0">
        <f>IF(E49="","",IFERROR(VLOOKUP(E49,Config!$F$2:$G$60,2,FALSE),"Gasto"))</f>
        <v>Gasto</v>
      </c>
      <c r="G49" s="2">
        <v>4247.14</v>
      </c>
      <c r="H49" s="2">
        <f>IF(G49="","",IF(IFERROR(VLOOKUP(E49,Config!$F$2:$H$60,3,FALSE),"Exento")="Afecto",ROUND(G49-(G49/1.12),2),0))</f>
        <v>0.0</v>
      </c>
      <c r="I49" s="2">
        <f>IF(G49="","",ROUND(G49-H49,2))</f>
        <v>4247.14</v>
      </c>
      <c r="J49" t="inlineStr" s="0">
        <is>
          <t>BI- Monetaria</t>
        </is>
      </c>
      <c r="K49" s="3">
        <f>IF(G49="","",ROUND(K48+IF(J49="BI-Ahorro",0,IF(F49="Gasto",-G49,G49)),2))</f>
        <v>63963.66</v>
      </c>
      <c r="L49" s="2">
        <f>IF(G49="","",ROUND(L48+IF(LEFT(E49,4)="2102",G49,IF(J49="BI-Ahorro",-G49,0)),2))</f>
        <v>9189.57</v>
      </c>
      <c r="M49" t="inlineStr" s="0">
        <is>
          <t>AUT-20260227-048</t>
        </is>
      </c>
      <c r="N49" t="inlineStr" s="0">
        <is>
          <t>00-Administración</t>
        </is>
      </c>
      <c r="O49" t="inlineStr" s="0">
        <is>
          <t/>
        </is>
      </c>
    </row>
    <row r="50">
      <c r="A50" t="inlineStr" s="0">
        <is>
          <t>ALT-26-049</t>
        </is>
      </c>
      <c r="B50" t="inlineStr" s="0">
        <is>
          <t>2026-02-27</t>
        </is>
      </c>
      <c r="C50" t="inlineStr" s="0">
        <is>
          <t>febrero</t>
        </is>
      </c>
      <c r="D50" t="inlineStr" s="0">
        <is>
          <t>Donación Fundación Waybi</t>
        </is>
      </c>
      <c r="E50" t="inlineStr" s="0">
        <is>
          <t>5208 - Donaciones</t>
        </is>
      </c>
      <c r="F50" t="str" s="0">
        <f>IF(E50="","",IFERROR(VLOOKUP(E50,Config!$F$2:$G$60,2,FALSE),"Gasto"))</f>
        <v>Gasto</v>
      </c>
      <c r="G50" s="2">
        <v>1700.0</v>
      </c>
      <c r="H50" s="2">
        <f>IF(G50="","",IF(IFERROR(VLOOKUP(E50,Config!$F$2:$H$60,3,FALSE),"Exento")="Afecto",ROUND(G50-(G50/1.12),2),0))</f>
        <v>182.14</v>
      </c>
      <c r="I50" s="2">
        <f>IF(G50="","",ROUND(G50-H50,2))</f>
        <v>1517.86</v>
      </c>
      <c r="J50" t="inlineStr" s="0">
        <is>
          <t>BI- Monetaria</t>
        </is>
      </c>
      <c r="K50" s="3">
        <f>IF(G50="","",ROUND(K49+IF(J50="BI-Ahorro",0,IF(F50="Gasto",-G50,G50)),2))</f>
        <v>62263.66</v>
      </c>
      <c r="L50" s="2">
        <f>IF(G50="","",ROUND(L49+IF(LEFT(E50,4)="2102",G50,IF(J50="BI-Ahorro",-G50,0)),2))</f>
        <v>9189.57</v>
      </c>
      <c r="M50" t="inlineStr" s="0">
        <is>
          <t>AUT-20260227-049</t>
        </is>
      </c>
      <c r="N50" t="inlineStr" s="0">
        <is>
          <t>00-Administración</t>
        </is>
      </c>
      <c r="O50" t="inlineStr" s="0">
        <is>
          <t/>
        </is>
      </c>
    </row>
    <row r="51">
      <c r="A51" t="inlineStr" s="0">
        <is>
          <t>ALT-26-050</t>
        </is>
      </c>
      <c r="B51" t="inlineStr" s="0">
        <is>
          <t>2026-02-27</t>
        </is>
      </c>
      <c r="C51" t="inlineStr" s="0">
        <is>
          <t>febrero</t>
        </is>
      </c>
      <c r="D51" t="inlineStr" s="0">
        <is>
          <t>Fondo provisiones laborales</t>
        </is>
      </c>
      <c r="E51" t="inlineStr" s="0">
        <is>
          <t>2102 - Provisiones Laborales</t>
        </is>
      </c>
      <c r="F51" t="str" s="0">
        <f>IF(E51="","",IFERROR(VLOOKUP(E51,Config!$F$2:$G$60,2,FALSE),"Gasto"))</f>
        <v>Gasto</v>
      </c>
      <c r="G51" s="2">
        <v>9156.92</v>
      </c>
      <c r="H51" s="2">
        <f>IF(G51="","",IF(IFERROR(VLOOKUP(E51,Config!$F$2:$H$60,3,FALSE),"Exento")="Afecto",ROUND(G51-(G51/1.12),2),0))</f>
        <v>0.0</v>
      </c>
      <c r="I51" s="2">
        <f>IF(G51="","",ROUND(G51-H51,2))</f>
        <v>9156.92</v>
      </c>
      <c r="J51" t="inlineStr" s="0">
        <is>
          <t>BI- Monetaria</t>
        </is>
      </c>
      <c r="K51" s="3">
        <f>IF(G51="","",ROUND(K50+IF(J51="BI-Ahorro",0,IF(F51="Gasto",-G51,G51)),2))</f>
        <v>53106.74</v>
      </c>
      <c r="L51" s="2">
        <f>IF(G51="","",ROUND(L50+IF(LEFT(E51,4)="2102",G51,IF(J51="BI-Ahorro",-G51,0)),2))</f>
        <v>18346.49</v>
      </c>
      <c r="M51" t="inlineStr" s="0">
        <is>
          <t>AUT-20260227-050</t>
        </is>
      </c>
      <c r="N51" t="inlineStr" s="0">
        <is>
          <t>00-Administración</t>
        </is>
      </c>
      <c r="O51" t="inlineStr" s="0">
        <is>
          <t/>
        </is>
      </c>
    </row>
    <row r="52">
      <c r="A52" t="inlineStr" s="0">
        <is>
          <t>ALT-26-051</t>
        </is>
      </c>
      <c r="B52" t="inlineStr" s="0">
        <is>
          <t>2026-02-28</t>
        </is>
      </c>
      <c r="C52" t="inlineStr" s="0">
        <is>
          <t>febrero</t>
        </is>
      </c>
      <c r="D52" t="inlineStr" s="0">
        <is>
          <t>Abono mesa WAYBI</t>
        </is>
      </c>
      <c r="E52" t="inlineStr" s="0">
        <is>
          <t>4200 - Ingresos Comerciales (Afectos)</t>
        </is>
      </c>
      <c r="F52" t="str" s="0">
        <f>IF(E52="","",IFERROR(VLOOKUP(E52,Config!$F$2:$G$60,2,FALSE),"Gasto"))</f>
        <v>Ingreso</v>
      </c>
      <c r="G52" s="2">
        <v>1075.0</v>
      </c>
      <c r="H52" s="2">
        <f>IF(G52="","",IF(IFERROR(VLOOKUP(E52,Config!$F$2:$H$60,3,FALSE),"Exento")="Afecto",ROUND(G52-(G52/1.12),2),0))</f>
        <v>0.0</v>
      </c>
      <c r="I52" s="2">
        <f>IF(G52="","",ROUND(G52-H52,2))</f>
        <v>1075.0</v>
      </c>
      <c r="J52" t="inlineStr" s="0">
        <is>
          <t>BI- Monetaria</t>
        </is>
      </c>
      <c r="K52" s="3">
        <f>IF(G52="","",ROUND(K51+IF(J52="BI-Ahorro",0,IF(F52="Gasto",-G52,G52)),2))</f>
        <v>54181.74</v>
      </c>
      <c r="L52" s="2">
        <f>IF(G52="","",ROUND(L51+IF(LEFT(E52,4)="2102",G52,IF(J52="BI-Ahorro",-G52,0)),2))</f>
        <v>18346.49</v>
      </c>
      <c r="M52" t="inlineStr" s="0">
        <is>
          <t>AUT-20260228-051</t>
        </is>
      </c>
      <c r="N52" t="inlineStr" s="0">
        <is>
          <t>00-Administración</t>
        </is>
      </c>
      <c r="O52" t="inlineStr" s="0">
        <is>
          <t/>
        </is>
      </c>
    </row>
    <row r="53">
      <c r="A53" t="inlineStr" s="0">
        <is>
          <t>ALT-26-052</t>
        </is>
      </c>
      <c r="B53" t="inlineStr" s="0">
        <is>
          <t>2026-03-02</t>
        </is>
      </c>
      <c r="C53" t="inlineStr" s="0">
        <is>
          <t>marzo</t>
        </is>
      </c>
      <c r="D53" t="inlineStr" s="0">
        <is>
          <t>Cobro mensualidad Andrei González</t>
        </is>
      </c>
      <c r="E53" t="inlineStr" s="0">
        <is>
          <t>4102 - Colegiaturas Mensuales</t>
        </is>
      </c>
      <c r="F53" t="str" s="0">
        <f>IF(E53="","",IFERROR(VLOOKUP(E53,Config!$F$2:$G$60,2,FALSE),"Gasto"))</f>
        <v>Ingreso</v>
      </c>
      <c r="G53" s="2">
        <v>3800.0</v>
      </c>
      <c r="H53" s="2">
        <f>IF(G53="","",IF(IFERROR(VLOOKUP(E53,Config!$F$2:$H$60,3,FALSE),"Exento")="Afecto",ROUND(G53-(G53/1.12),2),0))</f>
        <v>0.0</v>
      </c>
      <c r="I53" s="2">
        <f>IF(G53="","",ROUND(G53-H53,2))</f>
        <v>3800.0</v>
      </c>
      <c r="J53" t="inlineStr" s="0">
        <is>
          <t>BI- Monetaria</t>
        </is>
      </c>
      <c r="K53" s="3">
        <f>IF(G53="","",ROUND(K52+IF(J53="BI-Ahorro",0,IF(F53="Gasto",-G53,G53)),2))</f>
        <v>57981.74</v>
      </c>
      <c r="L53" s="2">
        <f>IF(G53="","",ROUND(L52+IF(LEFT(E53,4)="2102",G53,IF(J53="BI-Ahorro",-G53,0)),2))</f>
        <v>18346.49</v>
      </c>
      <c r="M53" t="inlineStr" s="0">
        <is>
          <t>AUT-20260302-052</t>
        </is>
      </c>
      <c r="N53" t="inlineStr" s="0">
        <is>
          <t>01-Pre-Primaria / 02-Primaria</t>
        </is>
      </c>
      <c r="O53" t="inlineStr" s="0">
        <is>
          <t/>
        </is>
      </c>
    </row>
    <row r="54">
      <c r="A54" t="inlineStr" s="0">
        <is>
          <t>ALT-26-053</t>
        </is>
      </c>
      <c r="B54" t="inlineStr" s="0">
        <is>
          <t>2026-03-02</t>
        </is>
      </c>
      <c r="C54" t="inlineStr" s="0">
        <is>
          <t>marzo</t>
        </is>
      </c>
      <c r="D54" t="inlineStr" s="0">
        <is>
          <t>Pago Google Workspace_altus US</t>
        </is>
      </c>
      <c r="E54" t="inlineStr" s="0">
        <is>
          <t>5212 - Telecomunicaciones e internet</t>
        </is>
      </c>
      <c r="F54" t="str" s="0">
        <f>IF(E54="","",IFERROR(VLOOKUP(E54,Config!$F$2:$G$60,2,FALSE),"Gasto"))</f>
        <v>Gasto</v>
      </c>
      <c r="G54" s="2">
        <v>235.87</v>
      </c>
      <c r="H54" s="2">
        <f>IF(G54="","",IF(IFERROR(VLOOKUP(E54,Config!$F$2:$H$60,3,FALSE),"Exento")="Afecto",ROUND(G54-(G54/1.12),2),0))</f>
        <v>25.27</v>
      </c>
      <c r="I54" s="2">
        <f>IF(G54="","",ROUND(G54-H54,2))</f>
        <v>210.6</v>
      </c>
      <c r="J54" t="inlineStr" s="0">
        <is>
          <t>BI- Monetaria</t>
        </is>
      </c>
      <c r="K54" s="3">
        <f>IF(G54="","",ROUND(K53+IF(J54="BI-Ahorro",0,IF(F54="Gasto",-G54,G54)),2))</f>
        <v>57745.87</v>
      </c>
      <c r="L54" s="2">
        <f>IF(G54="","",ROUND(L53+IF(LEFT(E54,4)="2102",G54,IF(J54="BI-Ahorro",-G54,0)),2))</f>
        <v>18346.49</v>
      </c>
      <c r="M54" t="inlineStr" s="0">
        <is>
          <t>AUT-20260302-053</t>
        </is>
      </c>
      <c r="N54" t="inlineStr" s="0">
        <is>
          <t>00-Administración</t>
        </is>
      </c>
      <c r="O54" t="inlineStr" s="0">
        <is>
          <t/>
        </is>
      </c>
    </row>
    <row r="55">
      <c r="A55" t="inlineStr" s="0">
        <is>
          <t>ALT-26-054</t>
        </is>
      </c>
      <c r="B55" t="inlineStr" s="0">
        <is>
          <t>2026-03-02</t>
        </is>
      </c>
      <c r="C55" t="inlineStr" s="0">
        <is>
          <t>marzo</t>
        </is>
      </c>
      <c r="D55" t="inlineStr" s="0">
        <is>
          <t>Pago servicio Sergio contador</t>
        </is>
      </c>
      <c r="E55" t="inlineStr" s="0">
        <is>
          <t>5209 - Honorarios profesionales</t>
        </is>
      </c>
      <c r="F55" t="str" s="0">
        <f>IF(E55="","",IFERROR(VLOOKUP(E55,Config!$F$2:$G$60,2,FALSE),"Gasto"))</f>
        <v>Gasto</v>
      </c>
      <c r="G55" s="2">
        <v>350.0</v>
      </c>
      <c r="H55" s="2">
        <f>IF(G55="","",IF(IFERROR(VLOOKUP(E55,Config!$F$2:$H$60,3,FALSE),"Exento")="Afecto",ROUND(G55-(G55/1.12),2),0))</f>
        <v>37.5</v>
      </c>
      <c r="I55" s="2">
        <f>IF(G55="","",ROUND(G55-H55,2))</f>
        <v>312.5</v>
      </c>
      <c r="J55" t="inlineStr" s="0">
        <is>
          <t>BI- Monetaria</t>
        </is>
      </c>
      <c r="K55" s="3">
        <f>IF(G55="","",ROUND(K54+IF(J55="BI-Ahorro",0,IF(F55="Gasto",-G55,G55)),2))</f>
        <v>57395.87</v>
      </c>
      <c r="L55" s="2">
        <f>IF(G55="","",ROUND(L54+IF(LEFT(E55,4)="2102",G55,IF(J55="BI-Ahorro",-G55,0)),2))</f>
        <v>18346.49</v>
      </c>
      <c r="M55" t="inlineStr" s="0">
        <is>
          <t>AUT-20260302-054</t>
        </is>
      </c>
      <c r="N55" t="inlineStr" s="0">
        <is>
          <t>00-Administración</t>
        </is>
      </c>
      <c r="O55" t="inlineStr" s="0">
        <is>
          <t/>
        </is>
      </c>
    </row>
    <row r="56">
      <c r="A56" t="inlineStr" s="0">
        <is>
          <t>ALT-26-055</t>
        </is>
      </c>
      <c r="B56" t="inlineStr" s="0">
        <is>
          <t>2026-03-02</t>
        </is>
      </c>
      <c r="C56" t="inlineStr" s="0">
        <is>
          <t>marzo</t>
        </is>
      </c>
      <c r="D56" t="inlineStr" s="0">
        <is>
          <t>Pago servicio Lourdes Escribá</t>
        </is>
      </c>
      <c r="E56" t="inlineStr" s="0">
        <is>
          <t>5209 - Honorarios profesionales</t>
        </is>
      </c>
      <c r="F56" t="str" s="0">
        <f>IF(E56="","",IFERROR(VLOOKUP(E56,Config!$F$2:$G$60,2,FALSE),"Gasto"))</f>
        <v>Gasto</v>
      </c>
      <c r="G56" s="2">
        <v>1854.54</v>
      </c>
      <c r="H56" s="2">
        <f>IF(G56="","",IF(IFERROR(VLOOKUP(E56,Config!$F$2:$H$60,3,FALSE),"Exento")="Afecto",ROUND(G56-(G56/1.12),2),0))</f>
        <v>198.7</v>
      </c>
      <c r="I56" s="2">
        <f>IF(G56="","",ROUND(G56-H56,2))</f>
        <v>1655.84</v>
      </c>
      <c r="J56" t="inlineStr" s="0">
        <is>
          <t>BI- Monetaria</t>
        </is>
      </c>
      <c r="K56" s="3">
        <f>IF(G56="","",ROUND(K55+IF(J56="BI-Ahorro",0,IF(F56="Gasto",-G56,G56)),2))</f>
        <v>55541.33</v>
      </c>
      <c r="L56" s="2">
        <f>IF(G56="","",ROUND(L55+IF(LEFT(E56,4)="2102",G56,IF(J56="BI-Ahorro",-G56,0)),2))</f>
        <v>18346.49</v>
      </c>
      <c r="M56" t="inlineStr" s="0">
        <is>
          <t>AUT-20260302-055</t>
        </is>
      </c>
      <c r="N56" t="inlineStr" s="0">
        <is>
          <t>00-Administración</t>
        </is>
      </c>
      <c r="O56" t="inlineStr" s="0">
        <is>
          <t/>
        </is>
      </c>
    </row>
    <row r="57">
      <c r="A57" t="inlineStr" s="0">
        <is>
          <t>ALT-26-056</t>
        </is>
      </c>
      <c r="B57" t="inlineStr" s="0">
        <is>
          <t>2026-03-03</t>
        </is>
      </c>
      <c r="C57" t="inlineStr" s="0">
        <is>
          <t>marzo</t>
        </is>
      </c>
      <c r="D57" t="inlineStr" s="0">
        <is>
          <t>Donación Sarah Farr</t>
        </is>
      </c>
      <c r="E57" t="inlineStr" s="0">
        <is>
          <t>4203 - Donaciones recibidas</t>
        </is>
      </c>
      <c r="F57" t="str" s="0">
        <f>IF(E57="","",IFERROR(VLOOKUP(E57,Config!$F$2:$G$60,2,FALSE),"Gasto"))</f>
        <v>Ingreso</v>
      </c>
      <c r="G57" s="2">
        <v>38976.9</v>
      </c>
      <c r="H57" s="2">
        <f>IF(G57="","",IF(IFERROR(VLOOKUP(E57,Config!$F$2:$H$60,3,FALSE),"Exento")="Afecto",ROUND(G57-(G57/1.12),2),0))</f>
        <v>0.0</v>
      </c>
      <c r="I57" s="2">
        <f>IF(G57="","",ROUND(G57-H57,2))</f>
        <v>38976.9</v>
      </c>
      <c r="J57" t="inlineStr" s="0">
        <is>
          <t>BI- Monetaria</t>
        </is>
      </c>
      <c r="K57" s="3">
        <f>IF(G57="","",ROUND(K56+IF(J57="BI-Ahorro",0,IF(F57="Gasto",-G57,G57)),2))</f>
        <v>94518.23</v>
      </c>
      <c r="L57" s="2">
        <f>IF(G57="","",ROUND(L56+IF(LEFT(E57,4)="2102",G57,IF(J57="BI-Ahorro",-G57,0)),2))</f>
        <v>18346.49</v>
      </c>
      <c r="M57" t="inlineStr" s="0">
        <is>
          <t>AUT-20260303-056</t>
        </is>
      </c>
      <c r="N57" t="inlineStr" s="0">
        <is>
          <t>00-Administración</t>
        </is>
      </c>
      <c r="O57" t="inlineStr" s="0">
        <is>
          <t/>
        </is>
      </c>
    </row>
    <row r="58">
      <c r="A58" t="inlineStr" s="0">
        <is>
          <t>ALT-26-057</t>
        </is>
      </c>
      <c r="B58" t="inlineStr" s="0">
        <is>
          <t>2026-03-03</t>
        </is>
      </c>
      <c r="C58" t="inlineStr" s="0">
        <is>
          <t>marzo</t>
        </is>
      </c>
      <c r="D58" t="inlineStr" s="0">
        <is>
          <t>Cobro mensualidad Gabriel Ruíz</t>
        </is>
      </c>
      <c r="E58" t="inlineStr" s="0">
        <is>
          <t>4102 - Colegiaturas Mensuales</t>
        </is>
      </c>
      <c r="F58" t="str" s="0">
        <f>IF(E58="","",IFERROR(VLOOKUP(E58,Config!$F$2:$G$60,2,FALSE),"Gasto"))</f>
        <v>Ingreso</v>
      </c>
      <c r="G58" s="2">
        <v>9300.0</v>
      </c>
      <c r="H58" s="2">
        <f>IF(G58="","",IF(IFERROR(VLOOKUP(E58,Config!$F$2:$H$60,3,FALSE),"Exento")="Afecto",ROUND(G58-(G58/1.12),2),0))</f>
        <v>0.0</v>
      </c>
      <c r="I58" s="2">
        <f>IF(G58="","",ROUND(G58-H58,2))</f>
        <v>9300.0</v>
      </c>
      <c r="J58" t="inlineStr" s="0">
        <is>
          <t>BI- Monetaria</t>
        </is>
      </c>
      <c r="K58" s="3">
        <f>IF(G58="","",ROUND(K57+IF(J58="BI-Ahorro",0,IF(F58="Gasto",-G58,G58)),2))</f>
        <v>103818.23</v>
      </c>
      <c r="L58" s="2">
        <f>IF(G58="","",ROUND(L57+IF(LEFT(E58,4)="2102",G58,IF(J58="BI-Ahorro",-G58,0)),2))</f>
        <v>18346.49</v>
      </c>
      <c r="M58" t="inlineStr" s="0">
        <is>
          <t>AUT-20260303-057</t>
        </is>
      </c>
      <c r="N58" t="inlineStr" s="0">
        <is>
          <t>01-Pre-Primaria / 02-Primaria</t>
        </is>
      </c>
      <c r="O58" t="inlineStr" s="0">
        <is>
          <t/>
        </is>
      </c>
    </row>
    <row r="59">
      <c r="A59" t="inlineStr" s="0">
        <is>
          <t>ALT-26-058</t>
        </is>
      </c>
      <c r="B59" t="inlineStr" s="0">
        <is>
          <t>2026-03-03</t>
        </is>
      </c>
      <c r="C59" t="inlineStr" s="0">
        <is>
          <t>marzo</t>
        </is>
      </c>
      <c r="D59" t="inlineStr" s="0">
        <is>
          <t>Ajuste provisión bonos</t>
        </is>
      </c>
      <c r="E59" t="inlineStr" s="0">
        <is>
          <t>2102 - Provisiones Laborales</t>
        </is>
      </c>
      <c r="F59" t="str" s="0">
        <f>IF(E59="","",IFERROR(VLOOKUP(E59,Config!$F$2:$G$60,2,FALSE),"Gasto"))</f>
        <v>Gasto</v>
      </c>
      <c r="G59" s="2">
        <v>2860.0</v>
      </c>
      <c r="H59" s="2">
        <f>IF(G59="","",IF(IFERROR(VLOOKUP(E59,Config!$F$2:$H$60,3,FALSE),"Exento")="Afecto",ROUND(G59-(G59/1.12),2),0))</f>
        <v>0.0</v>
      </c>
      <c r="I59" s="2">
        <f>IF(G59="","",ROUND(G59-H59,2))</f>
        <v>2860.0</v>
      </c>
      <c r="J59" t="inlineStr" s="0">
        <is>
          <t>BI- Monetaria</t>
        </is>
      </c>
      <c r="K59" s="3">
        <f>IF(G59="","",ROUND(K58+IF(J59="BI-Ahorro",0,IF(F59="Gasto",-G59,G59)),2))</f>
        <v>100958.23</v>
      </c>
      <c r="L59" s="2">
        <f>IF(G59="","",ROUND(L58+IF(LEFT(E59,4)="2102",G59,IF(J59="BI-Ahorro",-G59,0)),2))</f>
        <v>21206.49</v>
      </c>
      <c r="M59" t="inlineStr" s="0">
        <is>
          <t>AUT-20260303-058</t>
        </is>
      </c>
      <c r="N59" t="inlineStr" s="0">
        <is>
          <t>00-Administración</t>
        </is>
      </c>
      <c r="O59" t="inlineStr" s="0">
        <is>
          <t/>
        </is>
      </c>
    </row>
    <row r="60">
      <c r="A60" t="inlineStr" s="0">
        <is>
          <t>ALT-26-059</t>
        </is>
      </c>
      <c r="B60" t="inlineStr" s="0">
        <is>
          <t>2026-03-04</t>
        </is>
      </c>
      <c r="C60" t="inlineStr" s="0">
        <is>
          <t>marzo</t>
        </is>
      </c>
      <c r="D60" t="inlineStr" s="0">
        <is>
          <t>Cobro mensualidad Adriana García (Ajuste hospital)</t>
        </is>
      </c>
      <c r="E60" t="inlineStr" s="0">
        <is>
          <t>4102 - Colegiaturas Mensuales</t>
        </is>
      </c>
      <c r="F60" t="str" s="0">
        <f>IF(E60="","",IFERROR(VLOOKUP(E60,Config!$F$2:$G$60,2,FALSE),"Gasto"))</f>
        <v>Ingreso</v>
      </c>
      <c r="G60" s="2">
        <v>7757.57</v>
      </c>
      <c r="H60" s="2">
        <f>IF(G60="","",IF(IFERROR(VLOOKUP(E60,Config!$F$2:$H$60,3,FALSE),"Exento")="Afecto",ROUND(G60-(G60/1.12),2),0))</f>
        <v>0.0</v>
      </c>
      <c r="I60" s="2">
        <f>IF(G60="","",ROUND(G60-H60,2))</f>
        <v>7757.57</v>
      </c>
      <c r="J60" t="inlineStr" s="0">
        <is>
          <t>BI- Monetaria</t>
        </is>
      </c>
      <c r="K60" s="3">
        <f>IF(G60="","",ROUND(K59+IF(J60="BI-Ahorro",0,IF(F60="Gasto",-G60,G60)),2))</f>
        <v>108715.8</v>
      </c>
      <c r="L60" s="2">
        <f>IF(G60="","",ROUND(L59+IF(LEFT(E60,4)="2102",G60,IF(J60="BI-Ahorro",-G60,0)),2))</f>
        <v>21206.49</v>
      </c>
      <c r="M60" t="inlineStr" s="0">
        <is>
          <t>AUT-20260304-059</t>
        </is>
      </c>
      <c r="N60" t="inlineStr" s="0">
        <is>
          <t>01-Pre-Primaria / 02-Primaria</t>
        </is>
      </c>
      <c r="O60" t="inlineStr" s="0">
        <is>
          <t/>
        </is>
      </c>
    </row>
    <row r="61">
      <c r="A61" t="inlineStr" s="0">
        <is>
          <t>ALT-26-060</t>
        </is>
      </c>
      <c r="B61" t="inlineStr" s="0">
        <is>
          <t>2026-03-04</t>
        </is>
      </c>
      <c r="C61" t="inlineStr" s="0">
        <is>
          <t>marzo</t>
        </is>
      </c>
      <c r="D61" t="inlineStr" s="0">
        <is>
          <t>Anticipo uniformes equipo (saldo donación)</t>
        </is>
      </c>
      <c r="E61" t="inlineStr" s="0">
        <is>
          <t>2101 - Proveedores Locales</t>
        </is>
      </c>
      <c r="F61" t="str" s="0">
        <f>IF(E61="","",IFERROR(VLOOKUP(E61,Config!$F$2:$G$60,2,FALSE),"Gasto"))</f>
        <v>Gasto</v>
      </c>
      <c r="G61" s="2">
        <v>3365.0</v>
      </c>
      <c r="H61" s="2">
        <f>IF(G61="","",IF(IFERROR(VLOOKUP(E61,Config!$F$2:$H$60,3,FALSE),"Exento")="Afecto",ROUND(G61-(G61/1.12),2),0))</f>
        <v>360.54</v>
      </c>
      <c r="I61" s="2">
        <f>IF(G61="","",ROUND(G61-H61,2))</f>
        <v>3004.46</v>
      </c>
      <c r="J61" t="inlineStr" s="0">
        <is>
          <t>BI- Monetaria</t>
        </is>
      </c>
      <c r="K61" s="3">
        <f>IF(G61="","",ROUND(K60+IF(J61="BI-Ahorro",0,IF(F61="Gasto",-G61,G61)),2))</f>
        <v>105350.8</v>
      </c>
      <c r="L61" s="2">
        <f>IF(G61="","",ROUND(L60+IF(LEFT(E61,4)="2102",G61,IF(J61="BI-Ahorro",-G61,0)),2))</f>
        <v>21206.49</v>
      </c>
      <c r="M61" t="inlineStr" s="0">
        <is>
          <t>AUT-20260304-060</t>
        </is>
      </c>
      <c r="N61" t="inlineStr" s="0">
        <is>
          <t>00-Administración</t>
        </is>
      </c>
      <c r="O61" t="inlineStr" s="0">
        <is>
          <t/>
        </is>
      </c>
    </row>
    <row r="62">
      <c r="A62" t="inlineStr" s="0">
        <is>
          <t>ALT-26-061</t>
        </is>
      </c>
      <c r="B62" t="inlineStr" s="0">
        <is>
          <t>2026-03-05</t>
        </is>
      </c>
      <c r="C62" t="inlineStr" s="0">
        <is>
          <t>marzo</t>
        </is>
      </c>
      <c r="D62" t="inlineStr" s="0">
        <is>
          <t>Cobro mensualidad Mateo Toribio</t>
        </is>
      </c>
      <c r="E62" t="inlineStr" s="0">
        <is>
          <t>4102 - Colegiaturas Mensuales</t>
        </is>
      </c>
      <c r="F62" t="str" s="0">
        <f>IF(E62="","",IFERROR(VLOOKUP(E62,Config!$F$2:$G$60,2,FALSE),"Gasto"))</f>
        <v>Ingreso</v>
      </c>
      <c r="G62" s="2">
        <v>9300.0</v>
      </c>
      <c r="H62" s="2">
        <f>IF(G62="","",IF(IFERROR(VLOOKUP(E62,Config!$F$2:$H$60,3,FALSE),"Exento")="Afecto",ROUND(G62-(G62/1.12),2),0))</f>
        <v>0.0</v>
      </c>
      <c r="I62" s="2">
        <f>IF(G62="","",ROUND(G62-H62,2))</f>
        <v>9300.0</v>
      </c>
      <c r="J62" t="inlineStr" s="0">
        <is>
          <t>BI- Monetaria</t>
        </is>
      </c>
      <c r="K62" s="3">
        <f>IF(G62="","",ROUND(K61+IF(J62="BI-Ahorro",0,IF(F62="Gasto",-G62,G62)),2))</f>
        <v>114650.8</v>
      </c>
      <c r="L62" s="2">
        <f>IF(G62="","",ROUND(L61+IF(LEFT(E62,4)="2102",G62,IF(J62="BI-Ahorro",-G62,0)),2))</f>
        <v>21206.49</v>
      </c>
      <c r="M62" t="inlineStr" s="0">
        <is>
          <t>AUT-20260305-061</t>
        </is>
      </c>
      <c r="N62" t="inlineStr" s="0">
        <is>
          <t>01-Pre-Primaria / 02-Primaria</t>
        </is>
      </c>
      <c r="O62" t="inlineStr" s="0">
        <is>
          <t/>
        </is>
      </c>
    </row>
    <row r="63">
      <c r="A63" t="inlineStr" s="0">
        <is>
          <t>ALT-26-062</t>
        </is>
      </c>
      <c r="B63" t="inlineStr" s="0">
        <is>
          <t>2026-03-05</t>
        </is>
      </c>
      <c r="C63" t="inlineStr" s="0">
        <is>
          <t>marzo</t>
        </is>
      </c>
      <c r="D63" t="inlineStr" s="0">
        <is>
          <t>Cobro mensualidad Luís Felipe Guzmán</t>
        </is>
      </c>
      <c r="E63" t="inlineStr" s="0">
        <is>
          <t>4102 - Colegiaturas Mensuales</t>
        </is>
      </c>
      <c r="F63" t="str" s="0">
        <f>IF(E63="","",IFERROR(VLOOKUP(E63,Config!$F$2:$G$60,2,FALSE),"Gasto"))</f>
        <v>Ingreso</v>
      </c>
      <c r="G63" s="2">
        <v>9300.0</v>
      </c>
      <c r="H63" s="2">
        <f>IF(G63="","",IF(IFERROR(VLOOKUP(E63,Config!$F$2:$H$60,3,FALSE),"Exento")="Afecto",ROUND(G63-(G63/1.12),2),0))</f>
        <v>0.0</v>
      </c>
      <c r="I63" s="2">
        <f>IF(G63="","",ROUND(G63-H63,2))</f>
        <v>9300.0</v>
      </c>
      <c r="J63" t="inlineStr" s="0">
        <is>
          <t>BI- Monetaria</t>
        </is>
      </c>
      <c r="K63" s="3">
        <f>IF(G63="","",ROUND(K62+IF(J63="BI-Ahorro",0,IF(F63="Gasto",-G63,G63)),2))</f>
        <v>123950.8</v>
      </c>
      <c r="L63" s="2">
        <f>IF(G63="","",ROUND(L62+IF(LEFT(E63,4)="2102",G63,IF(J63="BI-Ahorro",-G63,0)),2))</f>
        <v>21206.49</v>
      </c>
      <c r="M63" t="inlineStr" s="0">
        <is>
          <t>AUT-20260305-062</t>
        </is>
      </c>
      <c r="N63" t="inlineStr" s="0">
        <is>
          <t>01-Pre-Primaria / 02-Primaria</t>
        </is>
      </c>
      <c r="O63" t="inlineStr" s="0">
        <is>
          <t/>
        </is>
      </c>
    </row>
    <row r="64">
      <c r="A64" t="inlineStr" s="0">
        <is>
          <t>ALT-26-063</t>
        </is>
      </c>
      <c r="B64" t="inlineStr" s="0">
        <is>
          <t>2026-03-05</t>
        </is>
      </c>
      <c r="C64" t="inlineStr" s="0">
        <is>
          <t>marzo</t>
        </is>
      </c>
      <c r="D64" t="inlineStr" s="0">
        <is>
          <t>Pago al DIDEDUC operacion escuela</t>
        </is>
      </c>
      <c r="E64" t="inlineStr" s="0">
        <is>
          <t>5210 - Impuestos, tasas y arbitrios</t>
        </is>
      </c>
      <c r="F64" t="str" s="0">
        <f>IF(E64="","",IFERROR(VLOOKUP(E64,Config!$F$2:$G$60,2,FALSE),"Gasto"))</f>
        <v>Gasto</v>
      </c>
      <c r="G64" s="2">
        <v>18.0</v>
      </c>
      <c r="H64" s="2">
        <f>IF(G64="","",IF(IFERROR(VLOOKUP(E64,Config!$F$2:$H$60,3,FALSE),"Exento")="Afecto",ROUND(G64-(G64/1.12),2),0))</f>
        <v>0.0</v>
      </c>
      <c r="I64" s="2">
        <f>IF(G64="","",ROUND(G64-H64,2))</f>
        <v>18.0</v>
      </c>
      <c r="J64" t="inlineStr" s="0">
        <is>
          <t>BI- Monetaria</t>
        </is>
      </c>
      <c r="K64" s="3">
        <f>IF(G64="","",ROUND(K63+IF(J64="BI-Ahorro",0,IF(F64="Gasto",-G64,G64)),2))</f>
        <v>123932.8</v>
      </c>
      <c r="L64" s="2">
        <f>IF(G64="","",ROUND(L63+IF(LEFT(E64,4)="2102",G64,IF(J64="BI-Ahorro",-G64,0)),2))</f>
        <v>21206.49</v>
      </c>
      <c r="M64" t="inlineStr" s="0">
        <is>
          <t>AUT-20260305-063</t>
        </is>
      </c>
      <c r="N64" t="inlineStr" s="0">
        <is>
          <t>00-Administración</t>
        </is>
      </c>
      <c r="O64" t="inlineStr" s="0">
        <is>
          <t/>
        </is>
      </c>
    </row>
    <row r="65">
      <c r="A65" t="inlineStr" s="0">
        <is>
          <t>ALT-26-064</t>
        </is>
      </c>
      <c r="B65" t="inlineStr" s="0">
        <is>
          <t>2026-03-05</t>
        </is>
      </c>
      <c r="C65" t="inlineStr" s="0">
        <is>
          <t>marzo</t>
        </is>
      </c>
      <c r="D65" t="inlineStr" s="0">
        <is>
          <t>Pago abogado carta ADENDUM</t>
        </is>
      </c>
      <c r="E65" t="inlineStr" s="0">
        <is>
          <t>5209 - Honorarios profesionales</t>
        </is>
      </c>
      <c r="F65" t="str" s="0">
        <f>IF(E65="","",IFERROR(VLOOKUP(E65,Config!$F$2:$G$60,2,FALSE),"Gasto"))</f>
        <v>Gasto</v>
      </c>
      <c r="G65" s="2">
        <v>560.0</v>
      </c>
      <c r="H65" s="2">
        <f>IF(G65="","",IF(IFERROR(VLOOKUP(E65,Config!$F$2:$H$60,3,FALSE),"Exento")="Afecto",ROUND(G65-(G65/1.12),2),0))</f>
        <v>60.0</v>
      </c>
      <c r="I65" s="2">
        <f>IF(G65="","",ROUND(G65-H65,2))</f>
        <v>500.0</v>
      </c>
      <c r="J65" t="inlineStr" s="0">
        <is>
          <t>BI- Monetaria</t>
        </is>
      </c>
      <c r="K65" s="3">
        <f>IF(G65="","",ROUND(K64+IF(J65="BI-Ahorro",0,IF(F65="Gasto",-G65,G65)),2))</f>
        <v>123372.8</v>
      </c>
      <c r="L65" s="2">
        <f>IF(G65="","",ROUND(L64+IF(LEFT(E65,4)="2102",G65,IF(J65="BI-Ahorro",-G65,0)),2))</f>
        <v>21206.49</v>
      </c>
      <c r="M65" t="inlineStr" s="0">
        <is>
          <t>AUT-20260305-064</t>
        </is>
      </c>
      <c r="N65" t="inlineStr" s="0">
        <is>
          <t>00-Administración</t>
        </is>
      </c>
      <c r="O65" t="inlineStr" s="0">
        <is>
          <t/>
        </is>
      </c>
    </row>
    <row r="66">
      <c r="A66" t="inlineStr" s="0">
        <is>
          <t>ALT-26-065</t>
        </is>
      </c>
      <c r="B66" t="inlineStr" s="0">
        <is>
          <t>2026-03-06</t>
        </is>
      </c>
      <c r="C66" t="inlineStr" s="0">
        <is>
          <t>marzo</t>
        </is>
      </c>
      <c r="D66" t="inlineStr" s="0">
        <is>
          <t>Cobro mensualidad Günther Márquez</t>
        </is>
      </c>
      <c r="E66" t="inlineStr" s="0">
        <is>
          <t>4102 - Colegiaturas Mensuales</t>
        </is>
      </c>
      <c r="F66" t="str" s="0">
        <f>IF(E66="","",IFERROR(VLOOKUP(E66,Config!$F$2:$G$60,2,FALSE),"Gasto"))</f>
        <v>Ingreso</v>
      </c>
      <c r="G66" s="2">
        <v>3800.0</v>
      </c>
      <c r="H66" s="2">
        <f>IF(G66="","",IF(IFERROR(VLOOKUP(E66,Config!$F$2:$H$60,3,FALSE),"Exento")="Afecto",ROUND(G66-(G66/1.12),2),0))</f>
        <v>0.0</v>
      </c>
      <c r="I66" s="2">
        <f>IF(G66="","",ROUND(G66-H66,2))</f>
        <v>3800.0</v>
      </c>
      <c r="J66" t="inlineStr" s="0">
        <is>
          <t>BI- Monetaria</t>
        </is>
      </c>
      <c r="K66" s="3">
        <f>IF(G66="","",ROUND(K65+IF(J66="BI-Ahorro",0,IF(F66="Gasto",-G66,G66)),2))</f>
        <v>127172.8</v>
      </c>
      <c r="L66" s="2">
        <f>IF(G66="","",ROUND(L65+IF(LEFT(E66,4)="2102",G66,IF(J66="BI-Ahorro",-G66,0)),2))</f>
        <v>21206.49</v>
      </c>
      <c r="M66" t="inlineStr" s="0">
        <is>
          <t>AUT-20260306-065</t>
        </is>
      </c>
      <c r="N66" t="inlineStr" s="0">
        <is>
          <t>01-Pre-Primaria / 02-Primaria</t>
        </is>
      </c>
      <c r="O66" t="inlineStr" s="0">
        <is>
          <t/>
        </is>
      </c>
    </row>
    <row r="67">
      <c r="A67" t="inlineStr" s="0">
        <is>
          <t>ALT-26-066</t>
        </is>
      </c>
      <c r="B67" t="inlineStr" s="0">
        <is>
          <t>2026-03-06</t>
        </is>
      </c>
      <c r="C67" t="inlineStr" s="0">
        <is>
          <t>marzo</t>
        </is>
      </c>
      <c r="D67" t="inlineStr" s="0">
        <is>
          <t>Cobro anticipo 3/6 inscripcion Günther Márquez</t>
        </is>
      </c>
      <c r="E67" t="inlineStr" s="0">
        <is>
          <t>4101 - Inscripciones</t>
        </is>
      </c>
      <c r="F67" t="str" s="0">
        <f>IF(E67="","",IFERROR(VLOOKUP(E67,Config!$F$2:$G$60,2,FALSE),"Gasto"))</f>
        <v>Ingreso</v>
      </c>
      <c r="G67" s="2">
        <v>1716.66</v>
      </c>
      <c r="H67" s="2">
        <f>IF(G67="","",IF(IFERROR(VLOOKUP(E67,Config!$F$2:$H$60,3,FALSE),"Exento")="Afecto",ROUND(G67-(G67/1.12),2),0))</f>
        <v>0.0</v>
      </c>
      <c r="I67" s="2">
        <f>IF(G67="","",ROUND(G67-H67,2))</f>
        <v>1716.66</v>
      </c>
      <c r="J67" t="inlineStr" s="0">
        <is>
          <t>BI- Monetaria</t>
        </is>
      </c>
      <c r="K67" s="3">
        <f>IF(G67="","",ROUND(K66+IF(J67="BI-Ahorro",0,IF(F67="Gasto",-G67,G67)),2))</f>
        <v>128889.46</v>
      </c>
      <c r="L67" s="2">
        <f>IF(G67="","",ROUND(L66+IF(LEFT(E67,4)="2102",G67,IF(J67="BI-Ahorro",-G67,0)),2))</f>
        <v>21206.49</v>
      </c>
      <c r="M67" t="inlineStr" s="0">
        <is>
          <t>AUT-20260306-066</t>
        </is>
      </c>
      <c r="N67" t="inlineStr" s="0">
        <is>
          <t>01-Pre-Primaria / 02-Primaria</t>
        </is>
      </c>
      <c r="O67" t="inlineStr" s="0">
        <is>
          <t/>
        </is>
      </c>
    </row>
    <row r="68">
      <c r="A68" t="inlineStr" s="0">
        <is>
          <t>ALT-26-067</t>
        </is>
      </c>
      <c r="B68" t="inlineStr" s="0">
        <is>
          <t>2026-03-11</t>
        </is>
      </c>
      <c r="C68" t="inlineStr" s="0">
        <is>
          <t>marzo</t>
        </is>
      </c>
      <c r="D68" t="inlineStr" s="0">
        <is>
          <t>Pago ISR</t>
        </is>
      </c>
      <c r="E68" t="inlineStr" s="0">
        <is>
          <t>2105 - ISR Retenciones por Pagar</t>
        </is>
      </c>
      <c r="F68" t="str" s="0">
        <f>IF(E68="","",IFERROR(VLOOKUP(E68,Config!$F$2:$G$60,2,FALSE),"Gasto"))</f>
        <v>Gasto</v>
      </c>
      <c r="G68" s="2">
        <v>376.0</v>
      </c>
      <c r="H68" s="2">
        <f>IF(G68="","",IF(IFERROR(VLOOKUP(E68,Config!$F$2:$H$60,3,FALSE),"Exento")="Afecto",ROUND(G68-(G68/1.12),2),0))</f>
        <v>0.0</v>
      </c>
      <c r="I68" s="2">
        <f>IF(G68="","",ROUND(G68-H68,2))</f>
        <v>376.0</v>
      </c>
      <c r="J68" t="inlineStr" s="0">
        <is>
          <t>BI- Monetaria</t>
        </is>
      </c>
      <c r="K68" s="3">
        <f>IF(G68="","",ROUND(K67+IF(J68="BI-Ahorro",0,IF(F68="Gasto",-G68,G68)),2))</f>
        <v>128513.46</v>
      </c>
      <c r="L68" s="2">
        <f>IF(G68="","",ROUND(L67+IF(LEFT(E68,4)="2102",G68,IF(J68="BI-Ahorro",-G68,0)),2))</f>
        <v>21206.49</v>
      </c>
      <c r="M68" t="inlineStr" s="0">
        <is>
          <t>AUT-20260311-067</t>
        </is>
      </c>
      <c r="N68" t="inlineStr" s="0">
        <is>
          <t>00-Administración</t>
        </is>
      </c>
      <c r="O68" t="inlineStr" s="0">
        <is>
          <t>Reclasificado a 2105 ISR Retenciones por Pagar</t>
        </is>
      </c>
    </row>
    <row r="69">
      <c r="A69" t="inlineStr" s="0">
        <is>
          <t>ALT-26-068</t>
        </is>
      </c>
      <c r="B69" t="inlineStr" s="0">
        <is>
          <t>2026-03-11</t>
        </is>
      </c>
      <c r="C69" t="inlineStr" s="0">
        <is>
          <t>marzo</t>
        </is>
      </c>
      <c r="D69" t="inlineStr" s="0">
        <is>
          <t>Pago 3 meses celular ALTUS</t>
        </is>
      </c>
      <c r="E69" t="inlineStr" s="0">
        <is>
          <t>5212 - Telecomunicaciones e internet</t>
        </is>
      </c>
      <c r="F69" t="str" s="0">
        <f>IF(E69="","",IFERROR(VLOOKUP(E69,Config!$F$2:$G$60,2,FALSE),"Gasto"))</f>
        <v>Gasto</v>
      </c>
      <c r="G69" s="2">
        <v>855.0</v>
      </c>
      <c r="H69" s="2">
        <f>IF(G69="","",IF(IFERROR(VLOOKUP(E69,Config!$F$2:$H$60,3,FALSE),"Exento")="Afecto",ROUND(G69-(G69/1.12),2),0))</f>
        <v>91.61</v>
      </c>
      <c r="I69" s="2">
        <f>IF(G69="","",ROUND(G69-H69,2))</f>
        <v>763.39</v>
      </c>
      <c r="J69" t="inlineStr" s="0">
        <is>
          <t>BI- Monetaria</t>
        </is>
      </c>
      <c r="K69" s="3">
        <f>IF(G69="","",ROUND(K68+IF(J69="BI-Ahorro",0,IF(F69="Gasto",-G69,G69)),2))</f>
        <v>127658.46</v>
      </c>
      <c r="L69" s="2">
        <f>IF(G69="","",ROUND(L68+IF(LEFT(E69,4)="2102",G69,IF(J69="BI-Ahorro",-G69,0)),2))</f>
        <v>21206.49</v>
      </c>
      <c r="M69" t="inlineStr" s="0">
        <is>
          <t>AUT-20260311-068</t>
        </is>
      </c>
      <c r="N69" t="inlineStr" s="0">
        <is>
          <t>00-Administración</t>
        </is>
      </c>
      <c r="O69" t="inlineStr" s="0">
        <is>
          <t/>
        </is>
      </c>
    </row>
    <row r="70">
      <c r="A70" t="inlineStr" s="0">
        <is>
          <t>ALT-26-069</t>
        </is>
      </c>
      <c r="B70" t="inlineStr" s="0">
        <is>
          <t>2026-03-12</t>
        </is>
      </c>
      <c r="C70" t="inlineStr" s="0">
        <is>
          <t>marzo</t>
        </is>
      </c>
      <c r="D70" t="inlineStr" s="0">
        <is>
          <t>Pago anticipo juegos de mader (fondo donación) OVA Arquitectos</t>
        </is>
      </c>
      <c r="E70" t="inlineStr" s="0">
        <is>
          <t>1105 - Anticipo a proveedores</t>
        </is>
      </c>
      <c r="F70" t="str" s="0">
        <f>IF(E70="","",IFERROR(VLOOKUP(E70,Config!$F$2:$G$60,2,FALSE),"Gasto"))</f>
        <v>Gasto</v>
      </c>
      <c r="G70" s="2">
        <v>11095.0</v>
      </c>
      <c r="H70" s="2">
        <f>IF(G70="","",IF(IFERROR(VLOOKUP(E70,Config!$F$2:$H$60,3,FALSE),"Exento")="Afecto",ROUND(G70-(G70/1.12),2),0))</f>
        <v>0.0</v>
      </c>
      <c r="I70" s="2">
        <f>IF(G70="","",ROUND(G70-H70,2))</f>
        <v>11095.0</v>
      </c>
      <c r="J70" t="inlineStr" s="0">
        <is>
          <t>BI- Monetaria</t>
        </is>
      </c>
      <c r="K70" s="3">
        <f>IF(G70="","",ROUND(K69+IF(J70="BI-Ahorro",0,IF(F70="Gasto",-G70,G70)),2))</f>
        <v>116563.46</v>
      </c>
      <c r="L70" s="2">
        <f>IF(G70="","",ROUND(L69+IF(LEFT(E70,4)="2102",G70,IF(J70="BI-Ahorro",-G70,0)),2))</f>
        <v>21206.49</v>
      </c>
      <c r="M70" t="inlineStr" s="0">
        <is>
          <t>AUT-20260312-069</t>
        </is>
      </c>
      <c r="N70" t="inlineStr" s="0">
        <is>
          <t>00-Administración</t>
        </is>
      </c>
      <c r="O70" t="inlineStr" s="0">
        <is>
          <t/>
        </is>
      </c>
    </row>
    <row r="71">
      <c r="A71" t="inlineStr" s="0">
        <is>
          <t>ALT-26-070</t>
        </is>
      </c>
      <c r="B71" t="inlineStr" s="0">
        <is>
          <t>2026-03-17</t>
        </is>
      </c>
      <c r="C71" t="inlineStr" s="0">
        <is>
          <t>marzo</t>
        </is>
      </c>
      <c r="D71" t="inlineStr" s="0">
        <is>
          <t>Pago saldo pendiente uniformes equipo (fondo donación)</t>
        </is>
      </c>
      <c r="E71" t="inlineStr" s="0">
        <is>
          <t>2101 - Proveedores Locales</t>
        </is>
      </c>
      <c r="F71" t="str" s="0">
        <f>IF(E71="","",IFERROR(VLOOKUP(E71,Config!$F$2:$G$60,2,FALSE),"Gasto"))</f>
        <v>Gasto</v>
      </c>
      <c r="G71" s="2">
        <v>2643.93</v>
      </c>
      <c r="H71" s="2">
        <f>IF(G71="","",IF(IFERROR(VLOOKUP(E71,Config!$F$2:$H$60,3,FALSE),"Exento")="Afecto",ROUND(G71-(G71/1.12),2),0))</f>
        <v>283.28</v>
      </c>
      <c r="I71" s="2">
        <f>IF(G71="","",ROUND(G71-H71,2))</f>
        <v>2360.65</v>
      </c>
      <c r="J71" t="inlineStr" s="0">
        <is>
          <t>BI- Monetaria</t>
        </is>
      </c>
      <c r="K71" s="3">
        <f>IF(G71="","",ROUND(K70+IF(J71="BI-Ahorro",0,IF(F71="Gasto",-G71,G71)),2))</f>
        <v>113919.53</v>
      </c>
      <c r="L71" s="2">
        <f>IF(G71="","",ROUND(L70+IF(LEFT(E71,4)="2102",G71,IF(J71="BI-Ahorro",-G71,0)),2))</f>
        <v>21206.49</v>
      </c>
      <c r="M71" t="inlineStr" s="0">
        <is>
          <t>AUT-20260317-070</t>
        </is>
      </c>
      <c r="N71" t="inlineStr" s="0">
        <is>
          <t>00-Administración</t>
        </is>
      </c>
      <c r="O71" t="inlineStr" s="0">
        <is>
          <t/>
        </is>
      </c>
    </row>
    <row r="72">
      <c r="A72" t="inlineStr" s="0">
        <is>
          <t>ALT-26-071</t>
        </is>
      </c>
      <c r="B72" t="inlineStr" s="0">
        <is>
          <t>2026-03-23</t>
        </is>
      </c>
      <c r="C72" t="inlineStr" s="0">
        <is>
          <t>marzo</t>
        </is>
      </c>
      <c r="D72" t="inlineStr" s="0">
        <is>
          <t>Cobro cuenta ajena seguro Giulia F</t>
        </is>
      </c>
      <c r="E72" t="inlineStr" s="0">
        <is>
          <t>2106 - Acreedores por Cuenta Ajena</t>
        </is>
      </c>
      <c r="F72" t="str" s="0">
        <f>IF(E72="","",IFERROR(VLOOKUP(E72,Config!$F$2:$G$60,2,FALSE),"Gasto"))</f>
        <v>Pasivo</v>
      </c>
      <c r="G72" s="2">
        <v>247.0</v>
      </c>
      <c r="H72" s="2">
        <f>IF(G72="","",IF(IFERROR(VLOOKUP(E72,Config!$F$2:$H$60,3,FALSE),"Exento")="Afecto",ROUND(G72-(G72/1.12),2),0))</f>
        <v>0.0</v>
      </c>
      <c r="I72" s="2">
        <f>IF(G72="","",ROUND(G72-H72,2))</f>
        <v>247.0</v>
      </c>
      <c r="J72" t="inlineStr" s="0">
        <is>
          <t>BI- Monetaria</t>
        </is>
      </c>
      <c r="K72" s="3">
        <f>IF(G72="","",ROUND(K71+IF(J72="BI-Ahorro",0,IF(F72="Gasto",-G72,G72)),2))</f>
        <v>114166.53</v>
      </c>
      <c r="L72" s="2">
        <f>IF(G72="","",ROUND(L71+IF(LEFT(E72,4)="2102",G72,IF(J72="BI-Ahorro",-G72,0)),2))</f>
        <v>21206.49</v>
      </c>
      <c r="M72" t="inlineStr" s="0">
        <is>
          <t>AUT-20260323-071</t>
        </is>
      </c>
      <c r="N72" t="inlineStr" s="0">
        <is>
          <t>00-Administración</t>
        </is>
      </c>
      <c r="O72" t="inlineStr" s="0">
        <is>
          <t/>
        </is>
      </c>
    </row>
    <row r="73">
      <c r="A73" t="inlineStr" s="0">
        <is>
          <t>ALT-26-072</t>
        </is>
      </c>
      <c r="B73" t="inlineStr" s="0">
        <is>
          <t>2026-03-24</t>
        </is>
      </c>
      <c r="C73" t="inlineStr" s="0">
        <is>
          <t>marzo</t>
        </is>
      </c>
      <c r="D73" t="inlineStr" s="0">
        <is>
          <t>Compras de ferretería</t>
        </is>
      </c>
      <c r="E73" t="inlineStr" s="0">
        <is>
          <t>5203 - Papelería, útiles y suministros</t>
        </is>
      </c>
      <c r="F73" t="str" s="0">
        <f>IF(E73="","",IFERROR(VLOOKUP(E73,Config!$F$2:$G$60,2,FALSE),"Gasto"))</f>
        <v>Gasto</v>
      </c>
      <c r="G73" s="2">
        <v>978.47</v>
      </c>
      <c r="H73" s="2">
        <f>IF(G73="","",IF(IFERROR(VLOOKUP(E73,Config!$F$2:$H$60,3,FALSE),"Exento")="Afecto",ROUND(G73-(G73/1.12),2),0))</f>
        <v>104.84</v>
      </c>
      <c r="I73" s="2">
        <f>IF(G73="","",ROUND(G73-H73,2))</f>
        <v>873.63</v>
      </c>
      <c r="J73" t="inlineStr" s="0">
        <is>
          <t>BI- Monetaria</t>
        </is>
      </c>
      <c r="K73" s="3">
        <f>IF(G73="","",ROUND(K72+IF(J73="BI-Ahorro",0,IF(F73="Gasto",-G73,G73)),2))</f>
        <v>113188.06</v>
      </c>
      <c r="L73" s="2">
        <f>IF(G73="","",ROUND(L72+IF(LEFT(E73,4)="2102",G73,IF(J73="BI-Ahorro",-G73,0)),2))</f>
        <v>21206.49</v>
      </c>
      <c r="M73" t="inlineStr" s="0">
        <is>
          <t>AUT-20260324-072</t>
        </is>
      </c>
      <c r="N73" t="inlineStr" s="0">
        <is>
          <t>00-Administración</t>
        </is>
      </c>
      <c r="O73" t="inlineStr" s="0">
        <is>
          <t/>
        </is>
      </c>
    </row>
    <row r="74">
      <c r="A74" t="inlineStr" s="0">
        <is>
          <t>ALT-26-073</t>
        </is>
      </c>
      <c r="B74" t="inlineStr" s="0">
        <is>
          <t>2026-03-24</t>
        </is>
      </c>
      <c r="C74" t="inlineStr" s="0">
        <is>
          <t>marzo</t>
        </is>
      </c>
      <c r="D74" t="inlineStr" s="0">
        <is>
          <t>Compra sello ALTUS dirección</t>
        </is>
      </c>
      <c r="E74" t="inlineStr" s="0">
        <is>
          <t>5203 - Papelería, útiles y suministros</t>
        </is>
      </c>
      <c r="F74" t="str" s="0">
        <f>IF(E74="","",IFERROR(VLOOKUP(E74,Config!$F$2:$G$60,2,FALSE),"Gasto"))</f>
        <v>Gasto</v>
      </c>
      <c r="G74" s="2">
        <v>120.0</v>
      </c>
      <c r="H74" s="2">
        <f>IF(G74="","",IF(IFERROR(VLOOKUP(E74,Config!$F$2:$H$60,3,FALSE),"Exento")="Afecto",ROUND(G74-(G74/1.12),2),0))</f>
        <v>12.86</v>
      </c>
      <c r="I74" s="2">
        <f>IF(G74="","",ROUND(G74-H74,2))</f>
        <v>107.14</v>
      </c>
      <c r="J74" t="inlineStr" s="0">
        <is>
          <t>BI- Monetaria</t>
        </is>
      </c>
      <c r="K74" s="3">
        <f>IF(G74="","",ROUND(K73+IF(J74="BI-Ahorro",0,IF(F74="Gasto",-G74,G74)),2))</f>
        <v>113068.06</v>
      </c>
      <c r="L74" s="2">
        <f>IF(G74="","",ROUND(L73+IF(LEFT(E74,4)="2102",G74,IF(J74="BI-Ahorro",-G74,0)),2))</f>
        <v>21206.49</v>
      </c>
      <c r="M74" t="inlineStr" s="0">
        <is>
          <t>AUT-20260324-073</t>
        </is>
      </c>
      <c r="N74" t="inlineStr" s="0">
        <is>
          <t>00-Administración</t>
        </is>
      </c>
      <c r="O74" t="inlineStr" s="0">
        <is>
          <t/>
        </is>
      </c>
    </row>
    <row r="75">
      <c r="A75" t="inlineStr" s="0">
        <is>
          <t>ALT-26-074</t>
        </is>
      </c>
      <c r="B75" t="inlineStr" s="0">
        <is>
          <t>2026-03-27</t>
        </is>
      </c>
      <c r="C75" t="inlineStr" s="0">
        <is>
          <t>marzo</t>
        </is>
      </c>
      <c r="D75" t="inlineStr" s="0">
        <is>
          <t>Pago mes de marzo Lucía Montes</t>
        </is>
      </c>
      <c r="E75" t="inlineStr" s="0">
        <is>
          <t>5101 - Sueldos y Salarios</t>
        </is>
      </c>
      <c r="F75" t="str" s="0">
        <f>IF(E75="","",IFERROR(VLOOKUP(E75,Config!$F$2:$G$60,2,FALSE),"Gasto"))</f>
        <v>Gasto</v>
      </c>
      <c r="G75" s="2">
        <v>8587.64</v>
      </c>
      <c r="H75" s="2">
        <f>IF(G75="","",IF(IFERROR(VLOOKUP(E75,Config!$F$2:$H$60,3,FALSE),"Exento")="Afecto",ROUND(G75-(G75/1.12),2),0))</f>
        <v>0.0</v>
      </c>
      <c r="I75" s="2">
        <f>IF(G75="","",ROUND(G75-H75,2))</f>
        <v>8587.64</v>
      </c>
      <c r="J75" t="inlineStr" s="0">
        <is>
          <t>BI- Monetaria</t>
        </is>
      </c>
      <c r="K75" s="3">
        <f>IF(G75="","",ROUND(K74+IF(J75="BI-Ahorro",0,IF(F75="Gasto",-G75,G75)),2))</f>
        <v>104480.42</v>
      </c>
      <c r="L75" s="2">
        <f>IF(G75="","",ROUND(L74+IF(LEFT(E75,4)="2102",G75,IF(J75="BI-Ahorro",-G75,0)),2))</f>
        <v>21206.49</v>
      </c>
      <c r="M75" t="inlineStr" s="0">
        <is>
          <t>AUT-20260327-074</t>
        </is>
      </c>
      <c r="N75" t="inlineStr" s="0">
        <is>
          <t>00-Administración</t>
        </is>
      </c>
      <c r="O75" t="inlineStr" s="0">
        <is>
          <t/>
        </is>
      </c>
    </row>
    <row r="76">
      <c r="A76" t="inlineStr" s="0">
        <is>
          <t>ALT-26-075</t>
        </is>
      </c>
      <c r="B76" t="inlineStr" s="0">
        <is>
          <t>2026-03-27</t>
        </is>
      </c>
      <c r="C76" t="inlineStr" s="0">
        <is>
          <t>marzo</t>
        </is>
      </c>
      <c r="D76" t="inlineStr" s="0">
        <is>
          <t>Pago mes de marzo Jessica Gudiel</t>
        </is>
      </c>
      <c r="E76" t="inlineStr" s="0">
        <is>
          <t>5101 - Sueldos y Salarios</t>
        </is>
      </c>
      <c r="F76" t="str" s="0">
        <f>IF(E76="","",IFERROR(VLOOKUP(E76,Config!$F$2:$G$60,2,FALSE),"Gasto"))</f>
        <v>Gasto</v>
      </c>
      <c r="G76" s="2">
        <v>5862.19</v>
      </c>
      <c r="H76" s="2">
        <f>IF(G76="","",IF(IFERROR(VLOOKUP(E76,Config!$F$2:$H$60,3,FALSE),"Exento")="Afecto",ROUND(G76-(G76/1.12),2),0))</f>
        <v>0.0</v>
      </c>
      <c r="I76" s="2">
        <f>IF(G76="","",ROUND(G76-H76,2))</f>
        <v>5862.19</v>
      </c>
      <c r="J76" t="inlineStr" s="0">
        <is>
          <t>BI- Monetaria</t>
        </is>
      </c>
      <c r="K76" s="3">
        <f>IF(G76="","",ROUND(K75+IF(J76="BI-Ahorro",0,IF(F76="Gasto",-G76,G76)),2))</f>
        <v>98618.23</v>
      </c>
      <c r="L76" s="2">
        <f>IF(G76="","",ROUND(L75+IF(LEFT(E76,4)="2102",G76,IF(J76="BI-Ahorro",-G76,0)),2))</f>
        <v>21206.49</v>
      </c>
      <c r="M76" t="inlineStr" s="0">
        <is>
          <t>AUT-20260327-075</t>
        </is>
      </c>
      <c r="N76" t="inlineStr" s="0">
        <is>
          <t>00-Administración</t>
        </is>
      </c>
      <c r="O76" t="inlineStr" s="0">
        <is>
          <t/>
        </is>
      </c>
    </row>
    <row r="77">
      <c r="A77" t="inlineStr" s="0">
        <is>
          <t>ALT-26-076</t>
        </is>
      </c>
      <c r="B77" t="inlineStr" s="0">
        <is>
          <t>2026-03-27</t>
        </is>
      </c>
      <c r="C77" t="inlineStr" s="0">
        <is>
          <t>marzo</t>
        </is>
      </c>
      <c r="D77" t="inlineStr" s="0">
        <is>
          <t>Pago mes de marzo Geovanna Velázquez</t>
        </is>
      </c>
      <c r="E77" t="inlineStr" s="0">
        <is>
          <t>5101 - Sueldos y Salarios</t>
        </is>
      </c>
      <c r="F77" t="str" s="0">
        <f>IF(E77="","",IFERROR(VLOOKUP(E77,Config!$F$2:$G$60,2,FALSE),"Gasto"))</f>
        <v>Gasto</v>
      </c>
      <c r="G77" s="2">
        <v>4234.78</v>
      </c>
      <c r="H77" s="2">
        <f>IF(G77="","",IF(IFERROR(VLOOKUP(E77,Config!$F$2:$H$60,3,FALSE),"Exento")="Afecto",ROUND(G77-(G77/1.12),2),0))</f>
        <v>0.0</v>
      </c>
      <c r="I77" s="2">
        <f>IF(G77="","",ROUND(G77-H77,2))</f>
        <v>4234.78</v>
      </c>
      <c r="J77" t="inlineStr" s="0">
        <is>
          <t>BI- Monetaria</t>
        </is>
      </c>
      <c r="K77" s="3">
        <f>IF(G77="","",ROUND(K76+IF(J77="BI-Ahorro",0,IF(F77="Gasto",-G77,G77)),2))</f>
        <v>94383.45</v>
      </c>
      <c r="L77" s="2">
        <f>IF(G77="","",ROUND(L76+IF(LEFT(E77,4)="2102",G77,IF(J77="BI-Ahorro",-G77,0)),2))</f>
        <v>21206.49</v>
      </c>
      <c r="M77" t="inlineStr" s="0">
        <is>
          <t>AUT-20260327-076</t>
        </is>
      </c>
      <c r="N77" t="inlineStr" s="0">
        <is>
          <t>00-Administración</t>
        </is>
      </c>
      <c r="O77" t="inlineStr" s="0">
        <is>
          <t/>
        </is>
      </c>
    </row>
    <row r="78">
      <c r="A78" t="inlineStr" s="0">
        <is>
          <t>ALT-26-077</t>
        </is>
      </c>
      <c r="B78" t="inlineStr" s="0">
        <is>
          <t>2026-03-27</t>
        </is>
      </c>
      <c r="C78" t="inlineStr" s="0">
        <is>
          <t>marzo</t>
        </is>
      </c>
      <c r="D78" t="inlineStr" s="0">
        <is>
          <t>Pago mes de marzo Suly Sajbochol</t>
        </is>
      </c>
      <c r="E78" t="inlineStr" s="0">
        <is>
          <t>5101 - Sueldos y Salarios</t>
        </is>
      </c>
      <c r="F78" t="str" s="0">
        <f>IF(E78="","",IFERROR(VLOOKUP(E78,Config!$F$2:$G$60,2,FALSE),"Gasto"))</f>
        <v>Gasto</v>
      </c>
      <c r="G78" s="2">
        <v>4234.78</v>
      </c>
      <c r="H78" s="2">
        <f>IF(G78="","",IF(IFERROR(VLOOKUP(E78,Config!$F$2:$H$60,3,FALSE),"Exento")="Afecto",ROUND(G78-(G78/1.12),2),0))</f>
        <v>0.0</v>
      </c>
      <c r="I78" s="2">
        <f>IF(G78="","",ROUND(G78-H78,2))</f>
        <v>4234.78</v>
      </c>
      <c r="J78" t="inlineStr" s="0">
        <is>
          <t>BI- Monetaria</t>
        </is>
      </c>
      <c r="K78" s="3">
        <f>IF(G78="","",ROUND(K77+IF(J78="BI-Ahorro",0,IF(F78="Gasto",-G78,G78)),2))</f>
        <v>90148.67</v>
      </c>
      <c r="L78" s="2">
        <f>IF(G78="","",ROUND(L77+IF(LEFT(E78,4)="2102",G78,IF(J78="BI-Ahorro",-G78,0)),2))</f>
        <v>21206.49</v>
      </c>
      <c r="M78" t="inlineStr" s="0">
        <is>
          <t>AUT-20260327-077</t>
        </is>
      </c>
      <c r="N78" t="inlineStr" s="0">
        <is>
          <t>00-Administración</t>
        </is>
      </c>
      <c r="O78" t="inlineStr" s="0">
        <is>
          <t/>
        </is>
      </c>
    </row>
    <row r="79">
      <c r="A79" t="inlineStr" s="0">
        <is>
          <t>ALT-26-078</t>
        </is>
      </c>
      <c r="B79" t="inlineStr" s="0">
        <is>
          <t>2026-03-27</t>
        </is>
      </c>
      <c r="C79" t="inlineStr" s="0">
        <is>
          <t>marzo</t>
        </is>
      </c>
      <c r="D79" t="inlineStr" s="0">
        <is>
          <t>Pago mes de marzo Melissa Peña</t>
        </is>
      </c>
      <c r="E79" t="inlineStr" s="0">
        <is>
          <t>5101 - Sueldos y Salarios</t>
        </is>
      </c>
      <c r="F79" t="str" s="0">
        <f>IF(E79="","",IFERROR(VLOOKUP(E79,Config!$F$2:$G$60,2,FALSE),"Gasto"))</f>
        <v>Gasto</v>
      </c>
      <c r="G79" s="2">
        <v>4234.78</v>
      </c>
      <c r="H79" s="2">
        <f>IF(G79="","",IF(IFERROR(VLOOKUP(E79,Config!$F$2:$H$60,3,FALSE),"Exento")="Afecto",ROUND(G79-(G79/1.12),2),0))</f>
        <v>0.0</v>
      </c>
      <c r="I79" s="2">
        <f>IF(G79="","",ROUND(G79-H79,2))</f>
        <v>4234.78</v>
      </c>
      <c r="J79" t="inlineStr" s="0">
        <is>
          <t>BI- Monetaria</t>
        </is>
      </c>
      <c r="K79" s="3">
        <f>IF(G79="","",ROUND(K78+IF(J79="BI-Ahorro",0,IF(F79="Gasto",-G79,G79)),2))</f>
        <v>85913.89</v>
      </c>
      <c r="L79" s="2">
        <f>IF(G79="","",ROUND(L78+IF(LEFT(E79,4)="2102",G79,IF(J79="BI-Ahorro",-G79,0)),2))</f>
        <v>21206.49</v>
      </c>
      <c r="M79" t="inlineStr" s="0">
        <is>
          <t>AUT-20260327-078</t>
        </is>
      </c>
      <c r="N79" t="inlineStr" s="0">
        <is>
          <t>00-Administración</t>
        </is>
      </c>
      <c r="O79" t="inlineStr" s="0">
        <is>
          <t/>
        </is>
      </c>
    </row>
    <row r="80">
      <c r="A80" t="inlineStr" s="0">
        <is>
          <t>ALT-26-079</t>
        </is>
      </c>
      <c r="B80" t="inlineStr" s="0">
        <is>
          <t>2026-03-27</t>
        </is>
      </c>
      <c r="C80" t="inlineStr" s="0">
        <is>
          <t>marzo</t>
        </is>
      </c>
      <c r="D80" t="inlineStr" s="0">
        <is>
          <t>Donación Fundación Waybi</t>
        </is>
      </c>
      <c r="E80" t="inlineStr" s="0">
        <is>
          <t>5208 - Donaciones</t>
        </is>
      </c>
      <c r="F80" t="str" s="0">
        <f>IF(E80="","",IFERROR(VLOOKUP(E80,Config!$F$2:$G$60,2,FALSE),"Gasto"))</f>
        <v>Gasto</v>
      </c>
      <c r="G80" s="2">
        <v>1700.0</v>
      </c>
      <c r="H80" s="2">
        <f>IF(G80="","",IF(IFERROR(VLOOKUP(E80,Config!$F$2:$H$60,3,FALSE),"Exento")="Afecto",ROUND(G80-(G80/1.12),2),0))</f>
        <v>182.14</v>
      </c>
      <c r="I80" s="2">
        <f>IF(G80="","",ROUND(G80-H80,2))</f>
        <v>1517.86</v>
      </c>
      <c r="J80" t="inlineStr" s="0">
        <is>
          <t>BI- Monetaria</t>
        </is>
      </c>
      <c r="K80" s="3">
        <f>IF(G80="","",ROUND(K79+IF(J80="BI-Ahorro",0,IF(F80="Gasto",-G80,G80)),2))</f>
        <v>84213.89</v>
      </c>
      <c r="L80" s="2">
        <f>IF(G80="","",ROUND(L79+IF(LEFT(E80,4)="2102",G80,IF(J80="BI-Ahorro",-G80,0)),2))</f>
        <v>21206.49</v>
      </c>
      <c r="M80" t="inlineStr" s="0">
        <is>
          <t>AUT-20260327-079</t>
        </is>
      </c>
      <c r="N80" t="inlineStr" s="0">
        <is>
          <t>00-Administración</t>
        </is>
      </c>
      <c r="O80" t="inlineStr" s="0">
        <is>
          <t/>
        </is>
      </c>
    </row>
    <row r="81">
      <c r="A81" t="inlineStr" s="0">
        <is>
          <t>ALT-26-080</t>
        </is>
      </c>
      <c r="B81" t="inlineStr" s="0">
        <is>
          <t>2026-03-27</t>
        </is>
      </c>
      <c r="C81" t="inlineStr" s="0">
        <is>
          <t>marzo</t>
        </is>
      </c>
      <c r="D81" t="inlineStr" s="0">
        <is>
          <t>Pago celular ALTUS</t>
        </is>
      </c>
      <c r="E81" t="inlineStr" s="0">
        <is>
          <t>5212 - Telecomunicaciones e internet</t>
        </is>
      </c>
      <c r="F81" t="str" s="0">
        <f>IF(E81="","",IFERROR(VLOOKUP(E81,Config!$F$2:$G$60,2,FALSE),"Gasto"))</f>
        <v>Gasto</v>
      </c>
      <c r="G81" s="2">
        <v>289.0</v>
      </c>
      <c r="H81" s="2">
        <f>IF(G81="","",IF(IFERROR(VLOOKUP(E81,Config!$F$2:$H$60,3,FALSE),"Exento")="Afecto",ROUND(G81-(G81/1.12),2),0))</f>
        <v>30.96</v>
      </c>
      <c r="I81" s="2">
        <f>IF(G81="","",ROUND(G81-H81,2))</f>
        <v>258.04</v>
      </c>
      <c r="J81" t="inlineStr" s="0">
        <is>
          <t>BI- Monetaria</t>
        </is>
      </c>
      <c r="K81" s="3">
        <f>IF(G81="","",ROUND(K80+IF(J81="BI-Ahorro",0,IF(F81="Gasto",-G81,G81)),2))</f>
        <v>83924.89</v>
      </c>
      <c r="L81" s="2">
        <f>IF(G81="","",ROUND(L80+IF(LEFT(E81,4)="2102",G81,IF(J81="BI-Ahorro",-G81,0)),2))</f>
        <v>21206.49</v>
      </c>
      <c r="M81" t="inlineStr" s="0">
        <is>
          <t>AUT-20260327-080</t>
        </is>
      </c>
      <c r="N81" t="inlineStr" s="0">
        <is>
          <t>00-Administración</t>
        </is>
      </c>
      <c r="O81" t="inlineStr" s="0">
        <is>
          <t/>
        </is>
      </c>
    </row>
    <row r="82">
      <c r="A82" t="inlineStr" s="0">
        <is>
          <t>ALT-26-081</t>
        </is>
      </c>
      <c r="B82" t="inlineStr" s="0">
        <is>
          <t>2026-03-27</t>
        </is>
      </c>
      <c r="C82" t="inlineStr" s="0">
        <is>
          <t>marzo</t>
        </is>
      </c>
      <c r="D82" t="inlineStr" s="0">
        <is>
          <t>Pago servicio Sergio contador</t>
        </is>
      </c>
      <c r="E82" t="inlineStr" s="0">
        <is>
          <t>5209 - Honorarios profesionales</t>
        </is>
      </c>
      <c r="F82" t="str" s="0">
        <f>IF(E82="","",IFERROR(VLOOKUP(E82,Config!$F$2:$G$60,2,FALSE),"Gasto"))</f>
        <v>Gasto</v>
      </c>
      <c r="G82" s="2">
        <v>350.0</v>
      </c>
      <c r="H82" s="2">
        <f>IF(G82="","",IF(IFERROR(VLOOKUP(E82,Config!$F$2:$H$60,3,FALSE),"Exento")="Afecto",ROUND(G82-(G82/1.12),2),0))</f>
        <v>37.5</v>
      </c>
      <c r="I82" s="2">
        <f>IF(G82="","",ROUND(G82-H82,2))</f>
        <v>312.5</v>
      </c>
      <c r="J82" t="inlineStr" s="0">
        <is>
          <t>BI- Monetaria</t>
        </is>
      </c>
      <c r="K82" s="3">
        <f>IF(G82="","",ROUND(K81+IF(J82="BI-Ahorro",0,IF(F82="Gasto",-G82,G82)),2))</f>
        <v>83574.89</v>
      </c>
      <c r="L82" s="2">
        <f>IF(G82="","",ROUND(L81+IF(LEFT(E82,4)="2102",G82,IF(J82="BI-Ahorro",-G82,0)),2))</f>
        <v>21206.49</v>
      </c>
      <c r="M82" t="inlineStr" s="0">
        <is>
          <t>AUT-20260327-081</t>
        </is>
      </c>
      <c r="N82" t="inlineStr" s="0">
        <is>
          <t>00-Administración</t>
        </is>
      </c>
      <c r="O82" t="inlineStr" s="0">
        <is>
          <t/>
        </is>
      </c>
    </row>
    <row r="83">
      <c r="A83" t="inlineStr" s="0">
        <is>
          <t>ALT-26-082</t>
        </is>
      </c>
      <c r="B83" t="inlineStr" s="0">
        <is>
          <t>2026-03-27</t>
        </is>
      </c>
      <c r="C83" t="inlineStr" s="0">
        <is>
          <t>marzo</t>
        </is>
      </c>
      <c r="D83" t="inlineStr" s="0">
        <is>
          <t>Fondo provisiones laborales</t>
        </is>
      </c>
      <c r="E83" t="inlineStr" s="0">
        <is>
          <t>2102 - Provisiones Laborales</t>
        </is>
      </c>
      <c r="F83" t="str" s="0">
        <f>IF(E83="","",IFERROR(VLOOKUP(E83,Config!$F$2:$G$60,2,FALSE),"Gasto"))</f>
        <v>Gasto</v>
      </c>
      <c r="G83" s="2">
        <v>11552.0</v>
      </c>
      <c r="H83" s="2">
        <f>IF(G83="","",IF(IFERROR(VLOOKUP(E83,Config!$F$2:$H$60,3,FALSE),"Exento")="Afecto",ROUND(G83-(G83/1.12),2),0))</f>
        <v>0.0</v>
      </c>
      <c r="I83" s="2">
        <f>IF(G83="","",ROUND(G83-H83,2))</f>
        <v>11552.0</v>
      </c>
      <c r="J83" t="inlineStr" s="0">
        <is>
          <t>BI- Monetaria</t>
        </is>
      </c>
      <c r="K83" s="3">
        <f>IF(G83="","",ROUND(K82+IF(J83="BI-Ahorro",0,IF(F83="Gasto",-G83,G83)),2))</f>
        <v>72022.89</v>
      </c>
      <c r="L83" s="2">
        <f>IF(G83="","",ROUND(L82+IF(LEFT(E83,4)="2102",G83,IF(J83="BI-Ahorro",-G83,0)),2))</f>
        <v>32758.49</v>
      </c>
      <c r="M83" t="inlineStr" s="0">
        <is>
          <t>AUT-20260327-082</t>
        </is>
      </c>
      <c r="N83" t="inlineStr" s="0">
        <is>
          <t>00-Administración</t>
        </is>
      </c>
      <c r="O83" t="inlineStr" s="0">
        <is>
          <t/>
        </is>
      </c>
    </row>
    <row r="84">
      <c r="A84" t="inlineStr" s="0">
        <is>
          <t>ALT-26-083</t>
        </is>
      </c>
      <c r="B84" t="inlineStr" s="0">
        <is>
          <t>2026-03-31</t>
        </is>
      </c>
      <c r="C84" t="inlineStr" s="0">
        <is>
          <t>marzo</t>
        </is>
      </c>
      <c r="D84" t="inlineStr" s="0">
        <is>
          <t>Liquidación factura  juegos de madera (fondo donación) + Exención</t>
        </is>
      </c>
      <c r="E84" t="inlineStr" s="0">
        <is>
          <t>1501 - Mobiliario y Equipo</t>
        </is>
      </c>
      <c r="F84" t="str" s="0">
        <f>IF(E84="","",IFERROR(VLOOKUP(E84,Config!$F$2:$G$60,2,FALSE),"Gasto"))</f>
        <v>Gasto</v>
      </c>
      <c r="G84" s="2">
        <v>8717.5</v>
      </c>
      <c r="H84" s="2">
        <f>IF(G84="","",IF(IFERROR(VLOOKUP(E84,Config!$F$2:$H$60,3,FALSE),"Exento")="Afecto",ROUND(G84-(G84/1.12),2),0))</f>
        <v>934.02</v>
      </c>
      <c r="I84" s="2">
        <f>IF(G84="","",ROUND(G84-H84,2))</f>
        <v>7783.48</v>
      </c>
      <c r="J84" t="inlineStr" s="0">
        <is>
          <t>BI- Monetaria</t>
        </is>
      </c>
      <c r="K84" s="3">
        <f>IF(G84="","",ROUND(K83+IF(J84="BI-Ahorro",0,IF(F84="Gasto",-G84,G84)),2))</f>
        <v>63305.39</v>
      </c>
      <c r="L84" s="2">
        <f>IF(G84="","",ROUND(L83+IF(LEFT(E84,4)="2102",G84,IF(J84="BI-Ahorro",-G84,0)),2))</f>
        <v>32758.49</v>
      </c>
      <c r="M84" t="inlineStr" s="0">
        <is>
          <t>AUT-20260331-083</t>
        </is>
      </c>
      <c r="N84" t="inlineStr" s="0">
        <is>
          <t>00-Administración</t>
        </is>
      </c>
      <c r="O84" t="inlineStr" s="0">
        <is>
          <t/>
        </is>
      </c>
    </row>
    <row r="85">
      <c r="A85" t="inlineStr" s="0">
        <is>
          <t>ALT-26-084</t>
        </is>
      </c>
      <c r="B85" t="inlineStr" s="0">
        <is>
          <t>2026-04-01</t>
        </is>
      </c>
      <c r="C85" t="inlineStr" s="0">
        <is>
          <t>abril</t>
        </is>
      </c>
      <c r="D85" t="inlineStr" s="0">
        <is>
          <t>Cobro mensualidad abril Andrei González</t>
        </is>
      </c>
      <c r="E85" t="inlineStr" s="0">
        <is>
          <t>4102 - Colegiaturas Mensuales</t>
        </is>
      </c>
      <c r="F85" t="str" s="0">
        <f>IF(E85="","",IFERROR(VLOOKUP(E85,Config!$F$2:$G$60,2,FALSE),"Gasto"))</f>
        <v>Ingreso</v>
      </c>
      <c r="G85" s="2">
        <v>3800.0</v>
      </c>
      <c r="H85" s="2">
        <f>IF(G85="","",IF(IFERROR(VLOOKUP(E85,Config!$F$2:$H$60,3,FALSE),"Exento")="Afecto",ROUND(G85-(G85/1.12),2),0))</f>
        <v>0.0</v>
      </c>
      <c r="I85" s="2">
        <f>IF(G85="","",ROUND(G85-H85,2))</f>
        <v>3800.0</v>
      </c>
      <c r="J85" t="inlineStr" s="0">
        <is>
          <t>BI- Monetaria</t>
        </is>
      </c>
      <c r="K85" s="3">
        <f>IF(G85="","",ROUND(K84+IF(J85="BI-Ahorro",0,IF(F85="Gasto",-G85,G85)),2))</f>
        <v>67105.39</v>
      </c>
      <c r="L85" s="2">
        <f>IF(G85="","",ROUND(L84+IF(LEFT(E85,4)="2102",G85,IF(J85="BI-Ahorro",-G85,0)),2))</f>
        <v>32758.49</v>
      </c>
      <c r="M85" t="inlineStr" s="0">
        <is>
          <t>AUT-20260401-084</t>
        </is>
      </c>
      <c r="N85" t="inlineStr" s="0">
        <is>
          <t>01-Pre-Primaria / 02-Primaria</t>
        </is>
      </c>
      <c r="O85" t="inlineStr" s="0">
        <is>
          <t/>
        </is>
      </c>
    </row>
    <row r="86">
      <c r="A86" t="inlineStr" s="0">
        <is>
          <t>ALT-26-085</t>
        </is>
      </c>
      <c r="B86" t="inlineStr" s="0">
        <is>
          <t>2026-04-01</t>
        </is>
      </c>
      <c r="C86" t="inlineStr" s="0">
        <is>
          <t>abril</t>
        </is>
      </c>
      <c r="D86" t="inlineStr" s="0">
        <is>
          <t>Cobro mensualidad abril Adriana García</t>
        </is>
      </c>
      <c r="E86" t="inlineStr" s="0">
        <is>
          <t>4102 - Colegiaturas Mensuales</t>
        </is>
      </c>
      <c r="F86" t="str" s="0">
        <f>IF(E86="","",IFERROR(VLOOKUP(E86,Config!$F$2:$G$60,2,FALSE),"Gasto"))</f>
        <v>Ingreso</v>
      </c>
      <c r="G86" s="2">
        <v>9300.0</v>
      </c>
      <c r="H86" s="2">
        <f>IF(G86="","",IF(IFERROR(VLOOKUP(E86,Config!$F$2:$H$60,3,FALSE),"Exento")="Afecto",ROUND(G86-(G86/1.12),2),0))</f>
        <v>0.0</v>
      </c>
      <c r="I86" s="2">
        <f>IF(G86="","",ROUND(G86-H86,2))</f>
        <v>9300.0</v>
      </c>
      <c r="J86" t="inlineStr" s="0">
        <is>
          <t>BI- Monetaria</t>
        </is>
      </c>
      <c r="K86" s="3">
        <f>IF(G86="","",ROUND(K85+IF(J86="BI-Ahorro",0,IF(F86="Gasto",-G86,G86)),2))</f>
        <v>76405.39</v>
      </c>
      <c r="L86" s="2">
        <f>IF(G86="","",ROUND(L85+IF(LEFT(E86,4)="2102",G86,IF(J86="BI-Ahorro",-G86,0)),2))</f>
        <v>32758.49</v>
      </c>
      <c r="M86" t="inlineStr" s="0">
        <is>
          <t>AUT-20260401-085</t>
        </is>
      </c>
      <c r="N86" t="inlineStr" s="0">
        <is>
          <t>01-Pre-Primaria / 02-Primaria</t>
        </is>
      </c>
      <c r="O86" t="inlineStr" s="0">
        <is>
          <t/>
        </is>
      </c>
    </row>
    <row r="87">
      <c r="A87" t="inlineStr" s="0">
        <is>
          <t>ALT-26-086</t>
        </is>
      </c>
      <c r="B87" t="inlineStr" s="0">
        <is>
          <t>2026-04-01</t>
        </is>
      </c>
      <c r="C87" t="inlineStr" s="0">
        <is>
          <t>abril</t>
        </is>
      </c>
      <c r="D87" t="inlineStr" s="0">
        <is>
          <t>Pago servicio Lourdes Escribá</t>
        </is>
      </c>
      <c r="E87" t="inlineStr" s="0">
        <is>
          <t>5209 - Honorarios profesionales</t>
        </is>
      </c>
      <c r="F87" t="str" s="0">
        <f>IF(E87="","",IFERROR(VLOOKUP(E87,Config!$F$2:$G$60,2,FALSE),"Gasto"))</f>
        <v>Gasto</v>
      </c>
      <c r="G87" s="2">
        <v>1454.0</v>
      </c>
      <c r="H87" s="2">
        <f>IF(G87="","",IF(IFERROR(VLOOKUP(E87,Config!$F$2:$H$60,3,FALSE),"Exento")="Afecto",ROUND(G87-(G87/1.12),2),0))</f>
        <v>155.79</v>
      </c>
      <c r="I87" s="2">
        <f>IF(G87="","",ROUND(G87-H87,2))</f>
        <v>1298.21</v>
      </c>
      <c r="J87" t="inlineStr" s="0">
        <is>
          <t>BI- Monetaria</t>
        </is>
      </c>
      <c r="K87" s="3">
        <f>IF(G87="","",ROUND(K86+IF(J87="BI-Ahorro",0,IF(F87="Gasto",-G87,G87)),2))</f>
        <v>74951.39</v>
      </c>
      <c r="L87" s="2">
        <f>IF(G87="","",ROUND(L86+IF(LEFT(E87,4)="2102",G87,IF(J87="BI-Ahorro",-G87,0)),2))</f>
        <v>32758.49</v>
      </c>
      <c r="M87" t="inlineStr" s="0">
        <is>
          <t>AUT-20260401-086</t>
        </is>
      </c>
      <c r="N87" t="inlineStr" s="0">
        <is>
          <t>00-Administración</t>
        </is>
      </c>
      <c r="O87" t="inlineStr" s="0">
        <is>
          <t/>
        </is>
      </c>
    </row>
    <row r="88">
      <c r="A88" t="inlineStr" s="0">
        <is>
          <t>ALT-26-087</t>
        </is>
      </c>
      <c r="B88" t="inlineStr" s="0">
        <is>
          <t>2026-04-04</t>
        </is>
      </c>
      <c r="C88" t="inlineStr" s="0">
        <is>
          <t>abril</t>
        </is>
      </c>
      <c r="D88" t="inlineStr" s="0">
        <is>
          <t>Cobro mensualidad Mateo Toribio</t>
        </is>
      </c>
      <c r="E88" t="inlineStr" s="0">
        <is>
          <t>4102 - Colegiaturas Mensuales</t>
        </is>
      </c>
      <c r="F88" t="str" s="0">
        <f>IF(E88="","",IFERROR(VLOOKUP(E88,Config!$F$2:$G$60,2,FALSE),"Gasto"))</f>
        <v>Ingreso</v>
      </c>
      <c r="G88" s="2">
        <v>9300.0</v>
      </c>
      <c r="H88" s="2">
        <f>IF(G88="","",IF(IFERROR(VLOOKUP(E88,Config!$F$2:$H$60,3,FALSE),"Exento")="Afecto",ROUND(G88-(G88/1.12),2),0))</f>
        <v>0.0</v>
      </c>
      <c r="I88" s="2">
        <f>IF(G88="","",ROUND(G88-H88,2))</f>
        <v>9300.0</v>
      </c>
      <c r="J88" t="inlineStr" s="0">
        <is>
          <t>BI- Monetaria</t>
        </is>
      </c>
      <c r="K88" s="3">
        <f>IF(G88="","",ROUND(K87+IF(J88="BI-Ahorro",0,IF(F88="Gasto",-G88,G88)),2))</f>
        <v>84251.39</v>
      </c>
      <c r="L88" s="2">
        <f>IF(G88="","",ROUND(L87+IF(LEFT(E88,4)="2102",G88,IF(J88="BI-Ahorro",-G88,0)),2))</f>
        <v>32758.49</v>
      </c>
      <c r="M88" t="inlineStr" s="0">
        <is>
          <t>AUT-20260404-087</t>
        </is>
      </c>
      <c r="N88" t="inlineStr" s="0">
        <is>
          <t>01-Pre-Primaria / 02-Primaria</t>
        </is>
      </c>
      <c r="O88" t="inlineStr" s="0">
        <is>
          <t/>
        </is>
      </c>
    </row>
    <row r="89">
      <c r="A89" t="inlineStr" s="0">
        <is>
          <t>ALT-26-088</t>
        </is>
      </c>
      <c r="B89" t="inlineStr" s="0">
        <is>
          <t>2026-04-05</t>
        </is>
      </c>
      <c r="C89" t="inlineStr" s="0">
        <is>
          <t>abril</t>
        </is>
      </c>
      <c r="D89" t="inlineStr" s="0">
        <is>
          <t>Cobro mensualidad abril Luís Felipe Guzmán</t>
        </is>
      </c>
      <c r="E89" t="inlineStr" s="0">
        <is>
          <t>4102 - Colegiaturas Mensuales</t>
        </is>
      </c>
      <c r="F89" t="str" s="0">
        <f>IF(E89="","",IFERROR(VLOOKUP(E89,Config!$F$2:$G$60,2,FALSE),"Gasto"))</f>
        <v>Ingreso</v>
      </c>
      <c r="G89" s="2">
        <v>9300.0</v>
      </c>
      <c r="H89" s="2">
        <f>IF(G89="","",IF(IFERROR(VLOOKUP(E89,Config!$F$2:$H$60,3,FALSE),"Exento")="Afecto",ROUND(G89-(G89/1.12),2),0))</f>
        <v>0.0</v>
      </c>
      <c r="I89" s="2">
        <f>IF(G89="","",ROUND(G89-H89,2))</f>
        <v>9300.0</v>
      </c>
      <c r="J89" t="inlineStr" s="0">
        <is>
          <t>BI- Monetaria</t>
        </is>
      </c>
      <c r="K89" s="3">
        <f>IF(G89="","",ROUND(K88+IF(J89="BI-Ahorro",0,IF(F89="Gasto",-G89,G89)),2))</f>
        <v>93551.39</v>
      </c>
      <c r="L89" s="2">
        <f>IF(G89="","",ROUND(L88+IF(LEFT(E89,4)="2102",G89,IF(J89="BI-Ahorro",-G89,0)),2))</f>
        <v>32758.49</v>
      </c>
      <c r="M89" t="inlineStr" s="0">
        <is>
          <t>AUT-20260405-088</t>
        </is>
      </c>
      <c r="N89" t="inlineStr" s="0">
        <is>
          <t>01-Pre-Primaria / 02-Primaria</t>
        </is>
      </c>
      <c r="O89" t="inlineStr" s="0">
        <is>
          <t/>
        </is>
      </c>
    </row>
    <row r="90">
      <c r="A90" t="inlineStr" s="0">
        <is>
          <t>ALT-26-089</t>
        </is>
      </c>
      <c r="B90" t="inlineStr" s="0">
        <is>
          <t>2026-04-05</t>
        </is>
      </c>
      <c r="C90" t="inlineStr" s="0">
        <is>
          <t>abril</t>
        </is>
      </c>
      <c r="D90" t="inlineStr" s="0">
        <is>
          <t>Cobro mensualidad Rodrigo Gallinsa</t>
        </is>
      </c>
      <c r="E90" t="inlineStr" s="0">
        <is>
          <t>4102 - Colegiaturas Mensuales</t>
        </is>
      </c>
      <c r="F90" t="str" s="0">
        <f>IF(E90="","",IFERROR(VLOOKUP(E90,Config!$F$2:$G$60,2,FALSE),"Gasto"))</f>
        <v>Ingreso</v>
      </c>
      <c r="G90" s="2">
        <v>6300.0</v>
      </c>
      <c r="H90" s="2">
        <f>IF(G90="","",IF(IFERROR(VLOOKUP(E90,Config!$F$2:$H$60,3,FALSE),"Exento")="Afecto",ROUND(G90-(G90/1.12),2),0))</f>
        <v>0.0</v>
      </c>
      <c r="I90" s="2">
        <f>IF(G90="","",ROUND(G90-H90,2))</f>
        <v>6300.0</v>
      </c>
      <c r="J90" t="inlineStr" s="0">
        <is>
          <t>BI- Monetaria</t>
        </is>
      </c>
      <c r="K90" s="3">
        <f>IF(G90="","",ROUND(K89+IF(J90="BI-Ahorro",0,IF(F90="Gasto",-G90,G90)),2))</f>
        <v>99851.39</v>
      </c>
      <c r="L90" s="2">
        <f>IF(G90="","",ROUND(L89+IF(LEFT(E90,4)="2102",G90,IF(J90="BI-Ahorro",-G90,0)),2))</f>
        <v>32758.49</v>
      </c>
      <c r="M90" t="inlineStr" s="0">
        <is>
          <t>AUT-20260405-089</t>
        </is>
      </c>
      <c r="N90" t="inlineStr" s="0">
        <is>
          <t>01-Pre-Primaria / 02-Primaria</t>
        </is>
      </c>
      <c r="O90" t="inlineStr" s="0">
        <is>
          <t/>
        </is>
      </c>
    </row>
    <row r="91">
      <c r="A91" t="inlineStr" s="0">
        <is>
          <t>ALT-26-090</t>
        </is>
      </c>
      <c r="B91" t="inlineStr" s="0">
        <is>
          <t>2026-04-06</t>
        </is>
      </c>
      <c r="C91" t="inlineStr" s="0">
        <is>
          <t>abril</t>
        </is>
      </c>
      <c r="D91" t="inlineStr" s="0">
        <is>
          <t>Cobro mensualidad abril Gabriel Ruíz</t>
        </is>
      </c>
      <c r="E91" t="inlineStr" s="0">
        <is>
          <t>4102 - Colegiaturas Mensuales</t>
        </is>
      </c>
      <c r="F91" t="str" s="0">
        <f>IF(E91="","",IFERROR(VLOOKUP(E91,Config!$F$2:$G$60,2,FALSE),"Gasto"))</f>
        <v>Ingreso</v>
      </c>
      <c r="G91" s="2">
        <v>9300.0</v>
      </c>
      <c r="H91" s="2">
        <f>IF(G91="","",IF(IFERROR(VLOOKUP(E91,Config!$F$2:$H$60,3,FALSE),"Exento")="Afecto",ROUND(G91-(G91/1.12),2),0))</f>
        <v>0.0</v>
      </c>
      <c r="I91" s="2">
        <f>IF(G91="","",ROUND(G91-H91,2))</f>
        <v>9300.0</v>
      </c>
      <c r="J91" t="inlineStr" s="0">
        <is>
          <t>BI- Monetaria</t>
        </is>
      </c>
      <c r="K91" s="3">
        <f>IF(G91="","",ROUND(K90+IF(J91="BI-Ahorro",0,IF(F91="Gasto",-G91,G91)),2))</f>
        <v>109151.39</v>
      </c>
      <c r="L91" s="2">
        <f>IF(G91="","",ROUND(L90+IF(LEFT(E91,4)="2102",G91,IF(J91="BI-Ahorro",-G91,0)),2))</f>
        <v>32758.49</v>
      </c>
      <c r="M91" t="inlineStr" s="0">
        <is>
          <t>AUT-20260406-090</t>
        </is>
      </c>
      <c r="N91" t="inlineStr" s="0">
        <is>
          <t>01-Pre-Primaria / 02-Primaria</t>
        </is>
      </c>
      <c r="O91" t="inlineStr" s="0">
        <is>
          <t/>
        </is>
      </c>
    </row>
    <row r="92">
      <c r="A92" t="inlineStr" s="0">
        <is>
          <t>ALT-26-091</t>
        </is>
      </c>
      <c r="B92" t="inlineStr" s="0">
        <is>
          <t>2026-04-06</t>
        </is>
      </c>
      <c r="C92" t="inlineStr" s="0">
        <is>
          <t>abril</t>
        </is>
      </c>
      <c r="D92" t="inlineStr" s="0">
        <is>
          <t>Pago Google Workspace_altus US</t>
        </is>
      </c>
      <c r="E92" t="inlineStr" s="0">
        <is>
          <t>5212 - Telecomunicaciones e internet</t>
        </is>
      </c>
      <c r="F92" t="str" s="0">
        <f>IF(E92="","",IFERROR(VLOOKUP(E92,Config!$F$2:$G$60,2,FALSE),"Gasto"))</f>
        <v>Gasto</v>
      </c>
      <c r="G92" s="2">
        <v>235.87</v>
      </c>
      <c r="H92" s="2">
        <f>IF(G92="","",IF(IFERROR(VLOOKUP(E92,Config!$F$2:$H$60,3,FALSE),"Exento")="Afecto",ROUND(G92-(G92/1.12),2),0))</f>
        <v>25.27</v>
      </c>
      <c r="I92" s="2">
        <f>IF(G92="","",ROUND(G92-H92,2))</f>
        <v>210.6</v>
      </c>
      <c r="J92" t="inlineStr" s="0">
        <is>
          <t>BI- Monetaria</t>
        </is>
      </c>
      <c r="K92" s="3">
        <f>IF(G92="","",ROUND(K91+IF(J92="BI-Ahorro",0,IF(F92="Gasto",-G92,G92)),2))</f>
        <v>108915.52</v>
      </c>
      <c r="L92" s="2">
        <f>IF(G92="","",ROUND(L91+IF(LEFT(E92,4)="2102",G92,IF(J92="BI-Ahorro",-G92,0)),2))</f>
        <v>32758.49</v>
      </c>
      <c r="M92" t="inlineStr" s="0">
        <is>
          <t>AUT-20260406-091</t>
        </is>
      </c>
      <c r="N92" t="inlineStr" s="0">
        <is>
          <t>00-Administración</t>
        </is>
      </c>
      <c r="O92" t="inlineStr" s="0">
        <is>
          <t/>
        </is>
      </c>
    </row>
    <row r="93">
      <c r="A93" t="inlineStr" s="0">
        <is>
          <t>ALT-26-092</t>
        </is>
      </c>
      <c r="B93" t="inlineStr" s="0">
        <is>
          <t>2026-04-06</t>
        </is>
      </c>
      <c r="C93" t="inlineStr" s="0">
        <is>
          <t>abril</t>
        </is>
      </c>
      <c r="D93" t="inlineStr" s="0">
        <is>
          <t>Pago libros preparatoria</t>
        </is>
      </c>
      <c r="E93" t="inlineStr" s="0">
        <is>
          <t>2101 - Proveedores Locales</t>
        </is>
      </c>
      <c r="F93" t="str" s="0">
        <f>IF(E93="","",IFERROR(VLOOKUP(E93,Config!$F$2:$G$60,2,FALSE),"Gasto"))</f>
        <v>Gasto</v>
      </c>
      <c r="G93" s="2">
        <v>459.0</v>
      </c>
      <c r="H93" s="2">
        <f>IF(G93="","",IF(IFERROR(VLOOKUP(E93,Config!$F$2:$H$60,3,FALSE),"Exento")="Afecto",ROUND(G93-(G93/1.12),2),0))</f>
        <v>49.18</v>
      </c>
      <c r="I93" s="2">
        <f>IF(G93="","",ROUND(G93-H93,2))</f>
        <v>409.82</v>
      </c>
      <c r="J93" t="inlineStr" s="0">
        <is>
          <t>BI- Monetaria</t>
        </is>
      </c>
      <c r="K93" s="3">
        <f>IF(G93="","",ROUND(K92+IF(J93="BI-Ahorro",0,IF(F93="Gasto",-G93,G93)),2))</f>
        <v>108456.52</v>
      </c>
      <c r="L93" s="2">
        <f>IF(G93="","",ROUND(L92+IF(LEFT(E93,4)="2102",G93,IF(J93="BI-Ahorro",-G93,0)),2))</f>
        <v>32758.49</v>
      </c>
      <c r="M93" t="inlineStr" s="0">
        <is>
          <t>AUT-20260406-092</t>
        </is>
      </c>
      <c r="N93" t="inlineStr" s="0">
        <is>
          <t>00-Administración</t>
        </is>
      </c>
      <c r="O93" t="inlineStr" s="0">
        <is>
          <t/>
        </is>
      </c>
    </row>
    <row r="94">
      <c r="A94" t="inlineStr" s="0">
        <is>
          <t>ALT-26-093</t>
        </is>
      </c>
      <c r="B94" t="inlineStr" s="0">
        <is>
          <t>2026-04-07</t>
        </is>
      </c>
      <c r="C94" t="inlineStr" s="0">
        <is>
          <t>abril</t>
        </is>
      </c>
      <c r="D94" t="inlineStr" s="0">
        <is>
          <t>Cobro mensualidad Giulia Fiorini</t>
        </is>
      </c>
      <c r="E94" t="inlineStr" s="0">
        <is>
          <t>4102 - Colegiaturas Mensuales</t>
        </is>
      </c>
      <c r="F94" t="str" s="0">
        <f>IF(E94="","",IFERROR(VLOOKUP(E94,Config!$F$2:$G$60,2,FALSE),"Gasto"))</f>
        <v>Ingreso</v>
      </c>
      <c r="G94" s="2">
        <v>1850.0</v>
      </c>
      <c r="H94" s="2">
        <f>IF(G94="","",IF(IFERROR(VLOOKUP(E94,Config!$F$2:$H$60,3,FALSE),"Exento")="Afecto",ROUND(G94-(G94/1.12),2),0))</f>
        <v>0.0</v>
      </c>
      <c r="I94" s="2">
        <f>IF(G94="","",ROUND(G94-H94,2))</f>
        <v>1850.0</v>
      </c>
      <c r="J94" t="inlineStr" s="0">
        <is>
          <t>BI- Monetaria</t>
        </is>
      </c>
      <c r="K94" s="3">
        <f>IF(G94="","",ROUND(K93+IF(J94="BI-Ahorro",0,IF(F94="Gasto",-G94,G94)),2))</f>
        <v>110306.52</v>
      </c>
      <c r="L94" s="2">
        <f>IF(G94="","",ROUND(L93+IF(LEFT(E94,4)="2102",G94,IF(J94="BI-Ahorro",-G94,0)),2))</f>
        <v>32758.49</v>
      </c>
      <c r="M94" t="inlineStr" s="0">
        <is>
          <t>AUT-20260407-093</t>
        </is>
      </c>
      <c r="N94" t="inlineStr" s="0">
        <is>
          <t>01-Pre-Primaria / 02-Primaria</t>
        </is>
      </c>
      <c r="O94" t="inlineStr" s="0">
        <is>
          <t/>
        </is>
      </c>
    </row>
    <row r="95">
      <c r="A95" t="inlineStr" s="0">
        <is>
          <t>ALT-26-094</t>
        </is>
      </c>
      <c r="B95" t="inlineStr" s="0">
        <is>
          <t>2026-04-07</t>
        </is>
      </c>
      <c r="C95" t="inlineStr" s="0">
        <is>
          <t>abril</t>
        </is>
      </c>
      <c r="D95" t="inlineStr" s="0">
        <is>
          <t>Cobro anticipo 1/6 inscripcion 2026  Giulia Fiorini</t>
        </is>
      </c>
      <c r="E95" t="inlineStr" s="0">
        <is>
          <t>4101 - Inscripciones</t>
        </is>
      </c>
      <c r="F95" t="str" s="0">
        <f>IF(E95="","",IFERROR(VLOOKUP(E95,Config!$F$2:$G$60,2,FALSE),"Gasto"))</f>
        <v>Ingreso</v>
      </c>
      <c r="G95" s="2">
        <v>308.34</v>
      </c>
      <c r="H95" s="2">
        <f>IF(G95="","",IF(IFERROR(VLOOKUP(E95,Config!$F$2:$H$60,3,FALSE),"Exento")="Afecto",ROUND(G95-(G95/1.12),2),0))</f>
        <v>0.0</v>
      </c>
      <c r="I95" s="2">
        <f>IF(G95="","",ROUND(G95-H95,2))</f>
        <v>308.34</v>
      </c>
      <c r="J95" t="inlineStr" s="0">
        <is>
          <t>BI- Monetaria</t>
        </is>
      </c>
      <c r="K95" s="3">
        <f>IF(G95="","",ROUND(K94+IF(J95="BI-Ahorro",0,IF(F95="Gasto",-G95,G95)),2))</f>
        <v>110614.86</v>
      </c>
      <c r="L95" s="2">
        <f>IF(G95="","",ROUND(L94+IF(LEFT(E95,4)="2102",G95,IF(J95="BI-Ahorro",-G95,0)),2))</f>
        <v>32758.49</v>
      </c>
      <c r="M95" t="inlineStr" s="0">
        <is>
          <t>AUT-20260407-094</t>
        </is>
      </c>
      <c r="N95" t="inlineStr" s="0">
        <is>
          <t>01-Pre-Primaria / 02-Primaria</t>
        </is>
      </c>
      <c r="O95" t="inlineStr" s="0">
        <is>
          <t/>
        </is>
      </c>
    </row>
    <row r="96">
      <c r="A96" t="inlineStr" s="0">
        <is>
          <t>ALT-26-095</t>
        </is>
      </c>
      <c r="B96" t="inlineStr" s="0">
        <is>
          <t>2026-04-07</t>
        </is>
      </c>
      <c r="C96" t="inlineStr" s="0">
        <is>
          <t>abril</t>
        </is>
      </c>
      <c r="D96" t="inlineStr" s="0">
        <is>
          <t>Cobro anticipo mensualidad abril Günther Márquez</t>
        </is>
      </c>
      <c r="E96" t="inlineStr" s="0">
        <is>
          <t>4102 - Colegiaturas Mensuales</t>
        </is>
      </c>
      <c r="F96" t="str" s="0">
        <f>IF(E96="","",IFERROR(VLOOKUP(E96,Config!$F$2:$G$60,2,FALSE),"Gasto"))</f>
        <v>Ingreso</v>
      </c>
      <c r="G96" s="2">
        <v>2758.0</v>
      </c>
      <c r="H96" s="2">
        <f>IF(G96="","",IF(IFERROR(VLOOKUP(E96,Config!$F$2:$H$60,3,FALSE),"Exento")="Afecto",ROUND(G96-(G96/1.12),2),0))</f>
        <v>0.0</v>
      </c>
      <c r="I96" s="2">
        <f>IF(G96="","",ROUND(G96-H96,2))</f>
        <v>2758.0</v>
      </c>
      <c r="J96" t="inlineStr" s="0">
        <is>
          <t>BI- Monetaria</t>
        </is>
      </c>
      <c r="K96" s="3">
        <f>IF(G96="","",ROUND(K95+IF(J96="BI-Ahorro",0,IF(F96="Gasto",-G96,G96)),2))</f>
        <v>113372.86</v>
      </c>
      <c r="L96" s="2">
        <f>IF(G96="","",ROUND(L95+IF(LEFT(E96,4)="2102",G96,IF(J96="BI-Ahorro",-G96,0)),2))</f>
        <v>32758.49</v>
      </c>
      <c r="M96" t="inlineStr" s="0">
        <is>
          <t>AUT-20260407-095</t>
        </is>
      </c>
      <c r="N96" t="inlineStr" s="0">
        <is>
          <t>01-Pre-Primaria / 02-Primaria</t>
        </is>
      </c>
      <c r="O96" t="inlineStr" s="0">
        <is>
          <t/>
        </is>
      </c>
    </row>
    <row r="97">
      <c r="A97" t="inlineStr" s="0">
        <is>
          <t>ALT-26-096</t>
        </is>
      </c>
      <c r="B97" t="inlineStr" s="0">
        <is>
          <t>2026-04-09</t>
        </is>
      </c>
      <c r="C97" t="inlineStr" s="0">
        <is>
          <t>abril</t>
        </is>
      </c>
      <c r="D97" t="inlineStr" s="0">
        <is>
          <t>Compra en Dollar City SanKris</t>
        </is>
      </c>
      <c r="E97" t="inlineStr" s="0">
        <is>
          <t>5203 - Papelería, útiles y suministros</t>
        </is>
      </c>
      <c r="F97" t="str" s="0">
        <f>IF(E97="","",IFERROR(VLOOKUP(E97,Config!$F$2:$G$60,2,FALSE),"Gasto"))</f>
        <v>Gasto</v>
      </c>
      <c r="G97" s="2">
        <v>1588.0</v>
      </c>
      <c r="H97" s="2">
        <f>IF(G97="","",IF(IFERROR(VLOOKUP(E97,Config!$F$2:$H$60,3,FALSE),"Exento")="Afecto",ROUND(G97-(G97/1.12),2),0))</f>
        <v>170.14</v>
      </c>
      <c r="I97" s="2">
        <f>IF(G97="","",ROUND(G97-H97,2))</f>
        <v>1417.86</v>
      </c>
      <c r="J97" t="inlineStr" s="0">
        <is>
          <t>BI- Monetaria</t>
        </is>
      </c>
      <c r="K97" s="3">
        <f>IF(G97="","",ROUND(K96+IF(J97="BI-Ahorro",0,IF(F97="Gasto",-G97,G97)),2))</f>
        <v>111784.86</v>
      </c>
      <c r="L97" s="2">
        <f>IF(G97="","",ROUND(L96+IF(LEFT(E97,4)="2102",G97,IF(J97="BI-Ahorro",-G97,0)),2))</f>
        <v>32758.49</v>
      </c>
      <c r="M97" t="inlineStr" s="0">
        <is>
          <t>AUT-20260409-096</t>
        </is>
      </c>
      <c r="N97" t="inlineStr" s="0">
        <is>
          <t>00-Administración</t>
        </is>
      </c>
      <c r="O97" t="inlineStr" s="0">
        <is>
          <t/>
        </is>
      </c>
    </row>
    <row r="98">
      <c r="A98" t="inlineStr" s="0">
        <is>
          <t>ALT-26-097</t>
        </is>
      </c>
      <c r="B98" t="inlineStr" s="0">
        <is>
          <t>2026-04-09</t>
        </is>
      </c>
      <c r="C98" t="inlineStr" s="0">
        <is>
          <t>abril</t>
        </is>
      </c>
      <c r="D98" t="inlineStr" s="0">
        <is>
          <t>Pago mobiliario reunión papás</t>
        </is>
      </c>
      <c r="E98" t="inlineStr" s="0">
        <is>
          <t>2101 - Proveedores Locales</t>
        </is>
      </c>
      <c r="F98" t="str" s="0">
        <f>IF(E98="","",IFERROR(VLOOKUP(E98,Config!$F$2:$G$60,2,FALSE),"Gasto"))</f>
        <v>Gasto</v>
      </c>
      <c r="G98" s="2">
        <v>117.0</v>
      </c>
      <c r="H98" s="2">
        <f>IF(G98="","",IF(IFERROR(VLOOKUP(E98,Config!$F$2:$H$60,3,FALSE),"Exento")="Afecto",ROUND(G98-(G98/1.12),2),0))</f>
        <v>12.54</v>
      </c>
      <c r="I98" s="2">
        <f>IF(G98="","",ROUND(G98-H98,2))</f>
        <v>104.46</v>
      </c>
      <c r="J98" t="inlineStr" s="0">
        <is>
          <t>BI- Monetaria</t>
        </is>
      </c>
      <c r="K98" s="3">
        <f>IF(G98="","",ROUND(K97+IF(J98="BI-Ahorro",0,IF(F98="Gasto",-G98,G98)),2))</f>
        <v>111667.86</v>
      </c>
      <c r="L98" s="2">
        <f>IF(G98="","",ROUND(L97+IF(LEFT(E98,4)="2102",G98,IF(J98="BI-Ahorro",-G98,0)),2))</f>
        <v>32758.49</v>
      </c>
      <c r="M98" t="inlineStr" s="0">
        <is>
          <t>AUT-20260409-097</t>
        </is>
      </c>
      <c r="N98" t="inlineStr" s="0">
        <is>
          <t>00-Administración</t>
        </is>
      </c>
      <c r="O98" t="inlineStr" s="0">
        <is>
          <t/>
        </is>
      </c>
    </row>
    <row r="99">
      <c r="A99" t="inlineStr" s="0">
        <is>
          <t>ALT-26-098</t>
        </is>
      </c>
      <c r="B99" t="inlineStr" s="0">
        <is>
          <t>2026-04-13</t>
        </is>
      </c>
      <c r="C99" t="inlineStr" s="0">
        <is>
          <t>abril</t>
        </is>
      </c>
      <c r="D99" t="inlineStr" s="0">
        <is>
          <t>Segundo pago de libros y agendas</t>
        </is>
      </c>
      <c r="E99" t="inlineStr" s="0">
        <is>
          <t>2106 - Acreedores por Cuenta Ajena</t>
        </is>
      </c>
      <c r="F99" t="str" s="0">
        <f>IF(E99="","",IFERROR(VLOOKUP(E99,Config!$F$2:$G$60,2,FALSE),"Gasto"))</f>
        <v>Pasivo</v>
      </c>
      <c r="G99" s="2">
        <v>942.0</v>
      </c>
      <c r="H99" s="2">
        <f>IF(G99="","",IF(IFERROR(VLOOKUP(E99,Config!$F$2:$H$60,3,FALSE),"Exento")="Afecto",ROUND(G99-(G99/1.12),2),0))</f>
        <v>0.0</v>
      </c>
      <c r="I99" s="2">
        <f>IF(G99="","",ROUND(G99-H99,2))</f>
        <v>942.0</v>
      </c>
      <c r="J99" t="inlineStr" s="0">
        <is>
          <t>BI- Monetaria</t>
        </is>
      </c>
      <c r="K99" s="3">
        <f>IF(G99="","",ROUND(K98+IF(J99="BI-Ahorro",0,IF(F99="Gasto",-G99,G99)),2))</f>
        <v>112609.86</v>
      </c>
      <c r="L99" s="2">
        <f>IF(G99="","",ROUND(L98+IF(LEFT(E99,4)="2102",G99,IF(J99="BI-Ahorro",-G99,0)),2))</f>
        <v>32758.49</v>
      </c>
      <c r="M99" t="inlineStr" s="0">
        <is>
          <t>AUT-20260413-098</t>
        </is>
      </c>
      <c r="N99" t="inlineStr" s="0">
        <is>
          <t>00-Administración</t>
        </is>
      </c>
      <c r="O99" t="inlineStr" s="0">
        <is>
          <t/>
        </is>
      </c>
    </row>
    <row r="100">
      <c r="A100" t="inlineStr" s="0">
        <is>
          <t>ALT-26-099</t>
        </is>
      </c>
      <c r="B100" t="inlineStr" s="0">
        <is>
          <t>2026-04-13</t>
        </is>
      </c>
      <c r="C100" t="inlineStr" s="0">
        <is>
          <t>abril</t>
        </is>
      </c>
      <c r="D100" t="inlineStr" s="0">
        <is>
          <t>Cobro excursión Günther</t>
        </is>
      </c>
      <c r="E100" t="inlineStr" s="0">
        <is>
          <t>2106 - Acreedores por Cuenta Ajena</t>
        </is>
      </c>
      <c r="F100" t="str" s="0">
        <f>IF(E100="","",IFERROR(VLOOKUP(E100,Config!$F$2:$G$60,2,FALSE),"Gasto"))</f>
        <v>Pasivo</v>
      </c>
      <c r="G100" s="2">
        <v>105.0</v>
      </c>
      <c r="H100" s="2">
        <f>IF(G100="","",IF(IFERROR(VLOOKUP(E100,Config!$F$2:$H$60,3,FALSE),"Exento")="Afecto",ROUND(G100-(G100/1.12),2),0))</f>
        <v>0.0</v>
      </c>
      <c r="I100" s="2">
        <f>IF(G100="","",ROUND(G100-H100,2))</f>
        <v>105.0</v>
      </c>
      <c r="J100" t="inlineStr" s="0">
        <is>
          <t>BI- Monetaria</t>
        </is>
      </c>
      <c r="K100" s="3">
        <f>IF(G100="","",ROUND(K99+IF(J100="BI-Ahorro",0,IF(F100="Gasto",-G100,G100)),2))</f>
        <v>112714.86</v>
      </c>
      <c r="L100" s="2">
        <f>IF(G100="","",ROUND(L99+IF(LEFT(E100,4)="2102",G100,IF(J100="BI-Ahorro",-G100,0)),2))</f>
        <v>32758.49</v>
      </c>
      <c r="M100" t="inlineStr" s="0">
        <is>
          <t>AUT-20260413-099</t>
        </is>
      </c>
      <c r="N100" t="inlineStr" s="0">
        <is>
          <t>00-Administración</t>
        </is>
      </c>
      <c r="O100" t="inlineStr" s="0">
        <is>
          <t/>
        </is>
      </c>
    </row>
    <row r="101">
      <c r="A101" t="inlineStr" s="0">
        <is>
          <t>ALT-26-100</t>
        </is>
      </c>
      <c r="B101" t="inlineStr" s="0">
        <is>
          <t>2026-04-17</t>
        </is>
      </c>
      <c r="C101" t="inlineStr" s="0">
        <is>
          <t>abril</t>
        </is>
      </c>
      <c r="D101" t="inlineStr" s="0">
        <is>
          <t>Retenciones empleados</t>
        </is>
      </c>
      <c r="E101" t="inlineStr" s="0">
        <is>
          <t>2105 - ISR Retenciones por Pagar</t>
        </is>
      </c>
      <c r="F101" t="str" s="0">
        <f>IF(E101="","",IFERROR(VLOOKUP(E101,Config!$F$2:$G$60,2,FALSE),"Gasto"))</f>
        <v>Gasto</v>
      </c>
      <c r="G101" s="2">
        <v>375.85</v>
      </c>
      <c r="H101" s="2">
        <f>IF(G101="","",IF(IFERROR(VLOOKUP(E101,Config!$F$2:$H$60,3,FALSE),"Exento")="Afecto",ROUND(G101-(G101/1.12),2),0))</f>
        <v>0.0</v>
      </c>
      <c r="I101" s="2">
        <f>IF(G101="","",ROUND(G101-H101,2))</f>
        <v>375.85</v>
      </c>
      <c r="J101" t="inlineStr" s="0">
        <is>
          <t>BI- Monetaria</t>
        </is>
      </c>
      <c r="K101" s="3">
        <f>IF(G101="","",ROUND(K100+IF(J101="BI-Ahorro",0,IF(F101="Gasto",-G101,G101)),2))</f>
        <v>112339.01</v>
      </c>
      <c r="L101" s="2">
        <f>IF(G101="","",ROUND(L100+IF(LEFT(E101,4)="2102",G101,IF(J101="BI-Ahorro",-G101,0)),2))</f>
        <v>32758.49</v>
      </c>
      <c r="M101" t="inlineStr" s="0">
        <is>
          <t>AUT-20260417-100</t>
        </is>
      </c>
      <c r="N101" t="inlineStr" s="0">
        <is>
          <t>00-Administración</t>
        </is>
      </c>
      <c r="O101" t="inlineStr" s="0">
        <is>
          <t>Reclasificado a 2105 ISR Retenciones por Pagar</t>
        </is>
      </c>
    </row>
    <row r="102">
      <c r="A102" t="inlineStr" s="0">
        <is>
          <t>ALT-26-101</t>
        </is>
      </c>
      <c r="B102" t="inlineStr" s="0">
        <is>
          <t>2026-04-17</t>
        </is>
      </c>
      <c r="C102" t="inlineStr" s="0">
        <is>
          <t>abril</t>
        </is>
      </c>
      <c r="D102" t="inlineStr" s="0">
        <is>
          <t>Pago de entrada de excursión maestras</t>
        </is>
      </c>
      <c r="E102" t="inlineStr" s="0">
        <is>
          <t>5205 - Actividades y excursiones</t>
        </is>
      </c>
      <c r="F102" t="str" s="0">
        <f>IF(E102="","",IFERROR(VLOOKUP(E102,Config!$F$2:$G$60,2,FALSE),"Gasto"))</f>
        <v>Gasto</v>
      </c>
      <c r="G102" s="2">
        <v>150.0</v>
      </c>
      <c r="H102" s="2">
        <f>IF(G102="","",IF(IFERROR(VLOOKUP(E102,Config!$F$2:$H$60,3,FALSE),"Exento")="Afecto",ROUND(G102-(G102/1.12),2),0))</f>
        <v>16.07</v>
      </c>
      <c r="I102" s="2">
        <f>IF(G102="","",ROUND(G102-H102,2))</f>
        <v>133.93</v>
      </c>
      <c r="J102" t="inlineStr" s="0">
        <is>
          <t>BI- Monetaria</t>
        </is>
      </c>
      <c r="K102" s="3">
        <f>IF(G102="","",ROUND(K101+IF(J102="BI-Ahorro",0,IF(F102="Gasto",-G102,G102)),2))</f>
        <v>112189.01</v>
      </c>
      <c r="L102" s="2">
        <f>IF(G102="","",ROUND(L101+IF(LEFT(E102,4)="2102",G102,IF(J102="BI-Ahorro",-G102,0)),2))</f>
        <v>32758.49</v>
      </c>
      <c r="M102" t="inlineStr" s="0">
        <is>
          <t>AUT-20260417-101</t>
        </is>
      </c>
      <c r="N102" t="inlineStr" s="0">
        <is>
          <t>00-Administración</t>
        </is>
      </c>
      <c r="O102" t="inlineStr" s="0">
        <is>
          <t/>
        </is>
      </c>
    </row>
    <row r="103">
      <c r="A103" t="inlineStr" s="0">
        <is>
          <t>ALT-26-102</t>
        </is>
      </c>
      <c r="B103" t="inlineStr" s="0">
        <is>
          <t>2026-04-20</t>
        </is>
      </c>
      <c r="C103" t="inlineStr" s="0">
        <is>
          <t>abril</t>
        </is>
      </c>
      <c r="D103" t="inlineStr" s="0">
        <is>
          <t>Anticipo 1/6 inscripción 2026 Rodrigo Gallinsa</t>
        </is>
      </c>
      <c r="E103" t="inlineStr" s="0">
        <is>
          <t>4101 - Inscripciones</t>
        </is>
      </c>
      <c r="F103" t="str" s="0">
        <f>IF(E103="","",IFERROR(VLOOKUP(E103,Config!$F$2:$G$60,2,FALSE),"Gasto"))</f>
        <v>Ingreso</v>
      </c>
      <c r="G103" s="2">
        <v>1287.5</v>
      </c>
      <c r="H103" s="2">
        <f>IF(G103="","",IF(IFERROR(VLOOKUP(E103,Config!$F$2:$H$60,3,FALSE),"Exento")="Afecto",ROUND(G103-(G103/1.12),2),0))</f>
        <v>0.0</v>
      </c>
      <c r="I103" s="2">
        <f>IF(G103="","",ROUND(G103-H103,2))</f>
        <v>1287.5</v>
      </c>
      <c r="J103" t="inlineStr" s="0">
        <is>
          <t>BI- Monetaria</t>
        </is>
      </c>
      <c r="K103" s="3">
        <f>IF(G103="","",ROUND(K102+IF(J103="BI-Ahorro",0,IF(F103="Gasto",-G103,G103)),2))</f>
        <v>113476.51</v>
      </c>
      <c r="L103" s="2">
        <f>IF(G103="","",ROUND(L102+IF(LEFT(E103,4)="2102",G103,IF(J103="BI-Ahorro",-G103,0)),2))</f>
        <v>32758.49</v>
      </c>
      <c r="M103" t="inlineStr" s="0">
        <is>
          <t>AUT-20260420-102</t>
        </is>
      </c>
      <c r="N103" t="inlineStr" s="0">
        <is>
          <t>01-Pre-Primaria / 02-Primaria</t>
        </is>
      </c>
      <c r="O103" t="inlineStr" s="0">
        <is>
          <t/>
        </is>
      </c>
    </row>
    <row r="104">
      <c r="A104" t="inlineStr" s="0">
        <is>
          <t>ALT-26-103</t>
        </is>
      </c>
      <c r="B104" t="inlineStr" s="0">
        <is>
          <t>2026-04-20</t>
        </is>
      </c>
      <c r="C104" t="inlineStr" s="0">
        <is>
          <t>abril</t>
        </is>
      </c>
      <c r="D104" t="inlineStr" s="0">
        <is>
          <t>Pago agenda escolar Rodrigo Gallinsa</t>
        </is>
      </c>
      <c r="E104" t="inlineStr" s="0">
        <is>
          <t>2101 - Proveedores Locales</t>
        </is>
      </c>
      <c r="F104" t="str" s="0">
        <f>IF(E104="","",IFERROR(VLOOKUP(E104,Config!$F$2:$G$60,2,FALSE),"Gasto"))</f>
        <v>Gasto</v>
      </c>
      <c r="G104" s="2">
        <v>99.0</v>
      </c>
      <c r="H104" s="2">
        <f>IF(G104="","",IF(IFERROR(VLOOKUP(E104,Config!$F$2:$H$60,3,FALSE),"Exento")="Afecto",ROUND(G104-(G104/1.12),2),0))</f>
        <v>10.61</v>
      </c>
      <c r="I104" s="2">
        <f>IF(G104="","",ROUND(G104-H104,2))</f>
        <v>88.39</v>
      </c>
      <c r="J104" t="inlineStr" s="0">
        <is>
          <t>BI- Monetaria</t>
        </is>
      </c>
      <c r="K104" s="3">
        <f>IF(G104="","",ROUND(K103+IF(J104="BI-Ahorro",0,IF(F104="Gasto",-G104,G104)),2))</f>
        <v>113377.51</v>
      </c>
      <c r="L104" s="2">
        <f>IF(G104="","",ROUND(L103+IF(LEFT(E104,4)="2102",G104,IF(J104="BI-Ahorro",-G104,0)),2))</f>
        <v>32758.49</v>
      </c>
      <c r="M104" t="inlineStr" s="0">
        <is>
          <t>Agenda</t>
        </is>
      </c>
      <c r="N104" t="inlineStr" s="0">
        <is>
          <t>00-Administración</t>
        </is>
      </c>
      <c r="O104" t="inlineStr" s="0">
        <is>
          <t/>
        </is>
      </c>
    </row>
    <row r="105">
      <c r="A105" t="inlineStr" s="0">
        <is>
          <t>ALT-26-104</t>
        </is>
      </c>
      <c r="B105" t="inlineStr" s="0">
        <is>
          <t>2026-04-21</t>
        </is>
      </c>
      <c r="C105" t="inlineStr" s="0">
        <is>
          <t>abril</t>
        </is>
      </c>
      <c r="D105" t="inlineStr" s="0">
        <is>
          <t>Pago anticipo de 9 polos para ALTUS</t>
        </is>
      </c>
      <c r="E105" t="inlineStr" s="0">
        <is>
          <t>2101 - Proveedores Locales</t>
        </is>
      </c>
      <c r="F105" t="str" s="0">
        <f>IF(E105="","",IFERROR(VLOOKUP(E105,Config!$F$2:$G$60,2,FALSE),"Gasto"))</f>
        <v>Gasto</v>
      </c>
      <c r="G105" s="2">
        <v>435.0</v>
      </c>
      <c r="H105" s="2">
        <f>IF(G105="","",IF(IFERROR(VLOOKUP(E105,Config!$F$2:$H$60,3,FALSE),"Exento")="Afecto",ROUND(G105-(G105/1.12),2),0))</f>
        <v>46.61</v>
      </c>
      <c r="I105" s="2">
        <f>IF(G105="","",ROUND(G105-H105,2))</f>
        <v>388.39</v>
      </c>
      <c r="J105" t="inlineStr" s="0">
        <is>
          <t>BI- Monetaria</t>
        </is>
      </c>
      <c r="K105" s="3">
        <f>IF(G105="","",ROUND(K104+IF(J105="BI-Ahorro",0,IF(F105="Gasto",-G105,G105)),2))</f>
        <v>112942.51</v>
      </c>
      <c r="L105" s="2">
        <f>IF(G105="","",ROUND(L104+IF(LEFT(E105,4)="2102",G105,IF(J105="BI-Ahorro",-G105,0)),2))</f>
        <v>32758.49</v>
      </c>
      <c r="M105" t="inlineStr" s="0">
        <is>
          <t>AUT-20260421-104</t>
        </is>
      </c>
      <c r="N105" t="inlineStr" s="0">
        <is>
          <t>00-Administración</t>
        </is>
      </c>
      <c r="O105" t="inlineStr" s="0">
        <is>
          <t/>
        </is>
      </c>
    </row>
    <row r="106">
      <c r="A106" t="inlineStr" s="0">
        <is>
          <t>ALT-26-105</t>
        </is>
      </c>
      <c r="B106" t="inlineStr" s="0">
        <is>
          <t>2026-04-24</t>
        </is>
      </c>
      <c r="C106" t="inlineStr" s="0">
        <is>
          <t>abril</t>
        </is>
      </c>
      <c r="D106" t="inlineStr" s="0">
        <is>
          <t>Cobro restante mensualidad Günther Márquez</t>
        </is>
      </c>
      <c r="E106" t="inlineStr" s="0">
        <is>
          <t>4102 - Colegiaturas Mensuales</t>
        </is>
      </c>
      <c r="F106" t="str" s="0">
        <f>IF(E106="","",IFERROR(VLOOKUP(E106,Config!$F$2:$G$60,2,FALSE),"Gasto"))</f>
        <v>Ingreso</v>
      </c>
      <c r="G106" s="2">
        <v>1042.0</v>
      </c>
      <c r="H106" s="2">
        <f>IF(G106="","",IF(IFERROR(VLOOKUP(E106,Config!$F$2:$H$60,3,FALSE),"Exento")="Afecto",ROUND(G106-(G106/1.12),2),0))</f>
        <v>0.0</v>
      </c>
      <c r="I106" s="2">
        <f>IF(G106="","",ROUND(G106-H106,2))</f>
        <v>1042.0</v>
      </c>
      <c r="J106" t="inlineStr" s="0">
        <is>
          <t>BI- Monetaria</t>
        </is>
      </c>
      <c r="K106" s="3">
        <f>IF(G106="","",ROUND(K105+IF(J106="BI-Ahorro",0,IF(F106="Gasto",-G106,G106)),2))</f>
        <v>113984.51</v>
      </c>
      <c r="L106" s="2">
        <f>IF(G106="","",ROUND(L105+IF(LEFT(E106,4)="2102",G106,IF(J106="BI-Ahorro",-G106,0)),2))</f>
        <v>32758.49</v>
      </c>
      <c r="M106" t="inlineStr" s="0">
        <is>
          <t>AUT-20260424-105</t>
        </is>
      </c>
      <c r="N106" t="inlineStr" s="0">
        <is>
          <t>01-Pre-Primaria / 02-Primaria</t>
        </is>
      </c>
      <c r="O106" t="inlineStr" s="0">
        <is>
          <t/>
        </is>
      </c>
    </row>
    <row r="107">
      <c r="A107" t="inlineStr" s="0">
        <is>
          <t>ALT-26-106</t>
        </is>
      </c>
      <c r="B107" t="inlineStr" s="0">
        <is>
          <t>2026-04-24</t>
        </is>
      </c>
      <c r="C107" t="inlineStr" s="0">
        <is>
          <t>abril</t>
        </is>
      </c>
      <c r="D107" t="inlineStr" s="0">
        <is>
          <t>Cobro anticipo 4/6 inscripcion Günther Márquez</t>
        </is>
      </c>
      <c r="E107" t="inlineStr" s="0">
        <is>
          <t>4101 - Inscripciones</t>
        </is>
      </c>
      <c r="F107" t="str" s="0">
        <f>IF(E107="","",IFERROR(VLOOKUP(E107,Config!$F$2:$G$60,2,FALSE),"Gasto"))</f>
        <v>Ingreso</v>
      </c>
      <c r="G107" s="2">
        <v>1716.66</v>
      </c>
      <c r="H107" s="2">
        <f>IF(G107="","",IF(IFERROR(VLOOKUP(E107,Config!$F$2:$H$60,3,FALSE),"Exento")="Afecto",ROUND(G107-(G107/1.12),2),0))</f>
        <v>0.0</v>
      </c>
      <c r="I107" s="2">
        <f>IF(G107="","",ROUND(G107-H107,2))</f>
        <v>1716.66</v>
      </c>
      <c r="J107" t="inlineStr" s="0">
        <is>
          <t>BI- Monetaria</t>
        </is>
      </c>
      <c r="K107" s="3">
        <f>IF(G107="","",ROUND(K106+IF(J107="BI-Ahorro",0,IF(F107="Gasto",-G107,G107)),2))</f>
        <v>115701.17</v>
      </c>
      <c r="L107" s="2">
        <f>IF(G107="","",ROUND(L106+IF(LEFT(E107,4)="2102",G107,IF(J107="BI-Ahorro",-G107,0)),2))</f>
        <v>32758.49</v>
      </c>
      <c r="M107" t="inlineStr" s="0">
        <is>
          <t>AUT-20260424-106</t>
        </is>
      </c>
      <c r="N107" t="inlineStr" s="0">
        <is>
          <t>01-Pre-Primaria / 02-Primaria</t>
        </is>
      </c>
      <c r="O107" t="inlineStr" s="0">
        <is>
          <t/>
        </is>
      </c>
    </row>
    <row r="108">
      <c r="A108" t="inlineStr" s="0">
        <is>
          <t>ALT-26-107</t>
        </is>
      </c>
      <c r="B108" t="inlineStr" s="0">
        <is>
          <t>2026-04-24</t>
        </is>
      </c>
      <c r="C108" t="inlineStr" s="0">
        <is>
          <t>abril</t>
        </is>
      </c>
      <c r="D108" t="inlineStr" s="0">
        <is>
          <t>Pago anticipo 1/2 actividad día de la madre</t>
        </is>
      </c>
      <c r="E108" t="inlineStr" s="0">
        <is>
          <t>5209 - Honorarios profesionales</t>
        </is>
      </c>
      <c r="F108" t="str" s="0">
        <f>IF(E108="","",IFERROR(VLOOKUP(E108,Config!$F$2:$G$60,2,FALSE),"Gasto"))</f>
        <v>Gasto</v>
      </c>
      <c r="G108" s="2">
        <v>750.0</v>
      </c>
      <c r="H108" s="2">
        <f>IF(G108="","",IF(IFERROR(VLOOKUP(E108,Config!$F$2:$H$60,3,FALSE),"Exento")="Afecto",ROUND(G108-(G108/1.12),2),0))</f>
        <v>80.36</v>
      </c>
      <c r="I108" s="2">
        <f>IF(G108="","",ROUND(G108-H108,2))</f>
        <v>669.64</v>
      </c>
      <c r="J108" t="inlineStr" s="0">
        <is>
          <t>BI- Monetaria</t>
        </is>
      </c>
      <c r="K108" s="3">
        <f>IF(G108="","",ROUND(K107+IF(J108="BI-Ahorro",0,IF(F108="Gasto",-G108,G108)),2))</f>
        <v>114951.17</v>
      </c>
      <c r="L108" s="2">
        <f>IF(G108="","",ROUND(L107+IF(LEFT(E108,4)="2102",G108,IF(J108="BI-Ahorro",-G108,0)),2))</f>
        <v>32758.49</v>
      </c>
      <c r="M108" t="inlineStr" s="0">
        <is>
          <t>AUT-20260424-107</t>
        </is>
      </c>
      <c r="N108" t="inlineStr" s="0">
        <is>
          <t>00-Administración</t>
        </is>
      </c>
      <c r="O108" t="inlineStr" s="0">
        <is>
          <t/>
        </is>
      </c>
    </row>
    <row r="109">
      <c r="A109" t="inlineStr" s="0">
        <is>
          <t>ALT-26-108</t>
        </is>
      </c>
      <c r="B109" t="inlineStr" s="0">
        <is>
          <t>2026-04-27</t>
        </is>
      </c>
      <c r="C109" t="inlineStr" s="0">
        <is>
          <t>abril</t>
        </is>
      </c>
      <c r="D109" t="inlineStr" s="0">
        <is>
          <t>Pago mes de marzo Lucía Montes</t>
        </is>
      </c>
      <c r="E109" t="inlineStr" s="0">
        <is>
          <t>5101 - Sueldos y Salarios</t>
        </is>
      </c>
      <c r="F109" t="str" s="0">
        <f>IF(E109="","",IFERROR(VLOOKUP(E109,Config!$F$2:$G$60,2,FALSE),"Gasto"))</f>
        <v>Gasto</v>
      </c>
      <c r="G109" s="2">
        <v>8587.64</v>
      </c>
      <c r="H109" s="2">
        <f>IF(G109="","",IF(IFERROR(VLOOKUP(E109,Config!$F$2:$H$60,3,FALSE),"Exento")="Afecto",ROUND(G109-(G109/1.12),2),0))</f>
        <v>0.0</v>
      </c>
      <c r="I109" s="2">
        <f>IF(G109="","",ROUND(G109-H109,2))</f>
        <v>8587.64</v>
      </c>
      <c r="J109" t="inlineStr" s="0">
        <is>
          <t>BI- Monetaria</t>
        </is>
      </c>
      <c r="K109" s="3">
        <f>IF(G109="","",ROUND(K108+IF(J109="BI-Ahorro",0,IF(F109="Gasto",-G109,G109)),2))</f>
        <v>106363.53</v>
      </c>
      <c r="L109" s="2">
        <f>IF(G109="","",ROUND(L108+IF(LEFT(E109,4)="2102",G109,IF(J109="BI-Ahorro",-G109,0)),2))</f>
        <v>32758.49</v>
      </c>
      <c r="M109" t="inlineStr" s="0">
        <is>
          <t>AUT-20260427-108</t>
        </is>
      </c>
      <c r="N109" t="inlineStr" s="0">
        <is>
          <t>00-Administración</t>
        </is>
      </c>
      <c r="O109" t="inlineStr" s="0">
        <is>
          <t/>
        </is>
      </c>
    </row>
    <row r="110">
      <c r="A110" t="inlineStr" s="0">
        <is>
          <t>ALT-26-109</t>
        </is>
      </c>
      <c r="B110" t="inlineStr" s="0">
        <is>
          <t>2026-04-27</t>
        </is>
      </c>
      <c r="C110" t="inlineStr" s="0">
        <is>
          <t>abril</t>
        </is>
      </c>
      <c r="D110" t="inlineStr" s="0">
        <is>
          <t>Pago mes de marzo Jessica Gudiel</t>
        </is>
      </c>
      <c r="E110" t="inlineStr" s="0">
        <is>
          <t>5101 - Sueldos y Salarios</t>
        </is>
      </c>
      <c r="F110" t="str" s="0">
        <f>IF(E110="","",IFERROR(VLOOKUP(E110,Config!$F$2:$G$60,2,FALSE),"Gasto"))</f>
        <v>Gasto</v>
      </c>
      <c r="G110" s="2">
        <v>5862.19</v>
      </c>
      <c r="H110" s="2">
        <f>IF(G110="","",IF(IFERROR(VLOOKUP(E110,Config!$F$2:$H$60,3,FALSE),"Exento")="Afecto",ROUND(G110-(G110/1.12),2),0))</f>
        <v>0.0</v>
      </c>
      <c r="I110" s="2">
        <f>IF(G110="","",ROUND(G110-H110,2))</f>
        <v>5862.19</v>
      </c>
      <c r="J110" t="inlineStr" s="0">
        <is>
          <t>BI- Monetaria</t>
        </is>
      </c>
      <c r="K110" s="3">
        <f>IF(G110="","",ROUND(K109+IF(J110="BI-Ahorro",0,IF(F110="Gasto",-G110,G110)),2))</f>
        <v>100501.34</v>
      </c>
      <c r="L110" s="2">
        <f>IF(G110="","",ROUND(L109+IF(LEFT(E110,4)="2102",G110,IF(J110="BI-Ahorro",-G110,0)),2))</f>
        <v>32758.49</v>
      </c>
      <c r="M110" t="inlineStr" s="0">
        <is>
          <t>AUT-20260427-109</t>
        </is>
      </c>
      <c r="N110" t="inlineStr" s="0">
        <is>
          <t>00-Administración</t>
        </is>
      </c>
      <c r="O110" t="inlineStr" s="0">
        <is>
          <t/>
        </is>
      </c>
    </row>
    <row r="111">
      <c r="A111" t="inlineStr" s="0">
        <is>
          <t>ALT-26-110</t>
        </is>
      </c>
      <c r="B111" t="inlineStr" s="0">
        <is>
          <t>2026-04-27</t>
        </is>
      </c>
      <c r="C111" t="inlineStr" s="0">
        <is>
          <t>abril</t>
        </is>
      </c>
      <c r="D111" t="inlineStr" s="0">
        <is>
          <t>Pago mes de marzo Geovanna Velázquez</t>
        </is>
      </c>
      <c r="E111" t="inlineStr" s="0">
        <is>
          <t>5101 - Sueldos y Salarios</t>
        </is>
      </c>
      <c r="F111" t="str" s="0">
        <f>IF(E111="","",IFERROR(VLOOKUP(E111,Config!$F$2:$G$60,2,FALSE),"Gasto"))</f>
        <v>Gasto</v>
      </c>
      <c r="G111" s="2">
        <v>4234.78</v>
      </c>
      <c r="H111" s="2">
        <f>IF(G111="","",IF(IFERROR(VLOOKUP(E111,Config!$F$2:$H$60,3,FALSE),"Exento")="Afecto",ROUND(G111-(G111/1.12),2),0))</f>
        <v>0.0</v>
      </c>
      <c r="I111" s="2">
        <f>IF(G111="","",ROUND(G111-H111,2))</f>
        <v>4234.78</v>
      </c>
      <c r="J111" t="inlineStr" s="0">
        <is>
          <t>BI- Monetaria</t>
        </is>
      </c>
      <c r="K111" s="3">
        <f>IF(G111="","",ROUND(K110+IF(J111="BI-Ahorro",0,IF(F111="Gasto",-G111,G111)),2))</f>
        <v>96266.56</v>
      </c>
      <c r="L111" s="2">
        <f>IF(G111="","",ROUND(L110+IF(LEFT(E111,4)="2102",G111,IF(J111="BI-Ahorro",-G111,0)),2))</f>
        <v>32758.49</v>
      </c>
      <c r="M111" t="inlineStr" s="0">
        <is>
          <t>AUT-20260427-110</t>
        </is>
      </c>
      <c r="N111" t="inlineStr" s="0">
        <is>
          <t>00-Administración</t>
        </is>
      </c>
      <c r="O111" t="inlineStr" s="0">
        <is>
          <t/>
        </is>
      </c>
    </row>
    <row r="112">
      <c r="A112" t="inlineStr" s="0">
        <is>
          <t>ALT-26-111</t>
        </is>
      </c>
      <c r="B112" t="inlineStr" s="0">
        <is>
          <t>2026-04-27</t>
        </is>
      </c>
      <c r="C112" t="inlineStr" s="0">
        <is>
          <t>abril</t>
        </is>
      </c>
      <c r="D112" t="inlineStr" s="0">
        <is>
          <t>Pago mes de marzo Suly Sajbochol</t>
        </is>
      </c>
      <c r="E112" t="inlineStr" s="0">
        <is>
          <t>5101 - Sueldos y Salarios</t>
        </is>
      </c>
      <c r="F112" t="str" s="0">
        <f>IF(E112="","",IFERROR(VLOOKUP(E112,Config!$F$2:$G$60,2,FALSE),"Gasto"))</f>
        <v>Gasto</v>
      </c>
      <c r="G112" s="2">
        <v>4234.78</v>
      </c>
      <c r="H112" s="2">
        <f>IF(G112="","",IF(IFERROR(VLOOKUP(E112,Config!$F$2:$H$60,3,FALSE),"Exento")="Afecto",ROUND(G112-(G112/1.12),2),0))</f>
        <v>0.0</v>
      </c>
      <c r="I112" s="2">
        <f>IF(G112="","",ROUND(G112-H112,2))</f>
        <v>4234.78</v>
      </c>
      <c r="J112" t="inlineStr" s="0">
        <is>
          <t>BI- Monetaria</t>
        </is>
      </c>
      <c r="K112" s="3">
        <f>IF(G112="","",ROUND(K111+IF(J112="BI-Ahorro",0,IF(F112="Gasto",-G112,G112)),2))</f>
        <v>92031.78</v>
      </c>
      <c r="L112" s="2">
        <f>IF(G112="","",ROUND(L111+IF(LEFT(E112,4)="2102",G112,IF(J112="BI-Ahorro",-G112,0)),2))</f>
        <v>32758.49</v>
      </c>
      <c r="M112" t="inlineStr" s="0">
        <is>
          <t>AUT-20260427-111</t>
        </is>
      </c>
      <c r="N112" t="inlineStr" s="0">
        <is>
          <t>00-Administración</t>
        </is>
      </c>
      <c r="O112" t="inlineStr" s="0">
        <is>
          <t/>
        </is>
      </c>
    </row>
    <row r="113">
      <c r="A113" t="inlineStr" s="0">
        <is>
          <t>ALT-26-112</t>
        </is>
      </c>
      <c r="B113" t="inlineStr" s="0">
        <is>
          <t>2026-04-27</t>
        </is>
      </c>
      <c r="C113" t="inlineStr" s="0">
        <is>
          <t>abril</t>
        </is>
      </c>
      <c r="D113" t="inlineStr" s="0">
        <is>
          <t>Pago mes de marzo Melissa Peña</t>
        </is>
      </c>
      <c r="E113" t="inlineStr" s="0">
        <is>
          <t>5101 - Sueldos y Salarios</t>
        </is>
      </c>
      <c r="F113" t="str" s="0">
        <f>IF(E113="","",IFERROR(VLOOKUP(E113,Config!$F$2:$G$60,2,FALSE),"Gasto"))</f>
        <v>Gasto</v>
      </c>
      <c r="G113" s="2">
        <v>4234.78</v>
      </c>
      <c r="H113" s="2">
        <f>IF(G113="","",IF(IFERROR(VLOOKUP(E113,Config!$F$2:$H$60,3,FALSE),"Exento")="Afecto",ROUND(G113-(G113/1.12),2),0))</f>
        <v>0.0</v>
      </c>
      <c r="I113" s="2">
        <f>IF(G113="","",ROUND(G113-H113,2))</f>
        <v>4234.78</v>
      </c>
      <c r="J113" t="inlineStr" s="0">
        <is>
          <t>BI- Monetaria</t>
        </is>
      </c>
      <c r="K113" s="3">
        <f>IF(G113="","",ROUND(K112+IF(J113="BI-Ahorro",0,IF(F113="Gasto",-G113,G113)),2))</f>
        <v>87797.0</v>
      </c>
      <c r="L113" s="2">
        <f>IF(G113="","",ROUND(L112+IF(LEFT(E113,4)="2102",G113,IF(J113="BI-Ahorro",-G113,0)),2))</f>
        <v>32758.49</v>
      </c>
      <c r="M113" t="inlineStr" s="0">
        <is>
          <t>AUT-20260427-112</t>
        </is>
      </c>
      <c r="N113" t="inlineStr" s="0">
        <is>
          <t>00-Administración</t>
        </is>
      </c>
      <c r="O113" t="inlineStr" s="0">
        <is>
          <t/>
        </is>
      </c>
    </row>
    <row r="114">
      <c r="A114" t="inlineStr" s="0">
        <is>
          <t>ALT-26-113</t>
        </is>
      </c>
      <c r="B114" t="inlineStr" s="0">
        <is>
          <t>2026-04-27</t>
        </is>
      </c>
      <c r="C114" t="inlineStr" s="0">
        <is>
          <t>abril</t>
        </is>
      </c>
      <c r="D114" t="inlineStr" s="0">
        <is>
          <t>Donación Fundación Waybi</t>
        </is>
      </c>
      <c r="E114" t="inlineStr" s="0">
        <is>
          <t>5208 - Donaciones</t>
        </is>
      </c>
      <c r="F114" t="str" s="0">
        <f>IF(E114="","",IFERROR(VLOOKUP(E114,Config!$F$2:$G$60,2,FALSE),"Gasto"))</f>
        <v>Gasto</v>
      </c>
      <c r="G114" s="2">
        <v>1930.0</v>
      </c>
      <c r="H114" s="2">
        <f>IF(G114="","",IF(IFERROR(VLOOKUP(E114,Config!$F$2:$H$60,3,FALSE),"Exento")="Afecto",ROUND(G114-(G114/1.12),2),0))</f>
        <v>206.79</v>
      </c>
      <c r="I114" s="2">
        <f>IF(G114="","",ROUND(G114-H114,2))</f>
        <v>1723.21</v>
      </c>
      <c r="J114" t="inlineStr" s="0">
        <is>
          <t>BI- Monetaria</t>
        </is>
      </c>
      <c r="K114" s="3">
        <f>IF(G114="","",ROUND(K113+IF(J114="BI-Ahorro",0,IF(F114="Gasto",-G114,G114)),2))</f>
        <v>85867.0</v>
      </c>
      <c r="L114" s="2">
        <f>IF(G114="","",ROUND(L113+IF(LEFT(E114,4)="2102",G114,IF(J114="BI-Ahorro",-G114,0)),2))</f>
        <v>32758.49</v>
      </c>
      <c r="M114" t="inlineStr" s="0">
        <is>
          <t>AUT-20260427-113</t>
        </is>
      </c>
      <c r="N114" t="inlineStr" s="0">
        <is>
          <t>00-Administración</t>
        </is>
      </c>
      <c r="O114" t="inlineStr" s="0">
        <is>
          <t/>
        </is>
      </c>
    </row>
    <row r="115">
      <c r="A115" t="inlineStr" s="0">
        <is>
          <t>ALT-26-114</t>
        </is>
      </c>
      <c r="B115" t="inlineStr" s="0">
        <is>
          <t>2026-04-27</t>
        </is>
      </c>
      <c r="C115" t="inlineStr" s="0">
        <is>
          <t>abril</t>
        </is>
      </c>
      <c r="D115" t="inlineStr" s="0">
        <is>
          <t>Pago celular ALTUS</t>
        </is>
      </c>
      <c r="E115" t="inlineStr" s="0">
        <is>
          <t>5212 - Telecomunicaciones e internet</t>
        </is>
      </c>
      <c r="F115" t="str" s="0">
        <f>IF(E115="","",IFERROR(VLOOKUP(E115,Config!$F$2:$G$60,2,FALSE),"Gasto"))</f>
        <v>Gasto</v>
      </c>
      <c r="G115" s="2">
        <v>285.0</v>
      </c>
      <c r="H115" s="2">
        <f>IF(G115="","",IF(IFERROR(VLOOKUP(E115,Config!$F$2:$H$60,3,FALSE),"Exento")="Afecto",ROUND(G115-(G115/1.12),2),0))</f>
        <v>30.54</v>
      </c>
      <c r="I115" s="2">
        <f>IF(G115="","",ROUND(G115-H115,2))</f>
        <v>254.46</v>
      </c>
      <c r="J115" t="inlineStr" s="0">
        <is>
          <t>BI- Monetaria</t>
        </is>
      </c>
      <c r="K115" s="3">
        <f>IF(G115="","",ROUND(K114+IF(J115="BI-Ahorro",0,IF(F115="Gasto",-G115,G115)),2))</f>
        <v>85582.0</v>
      </c>
      <c r="L115" s="2">
        <f>IF(G115="","",ROUND(L114+IF(LEFT(E115,4)="2102",G115,IF(J115="BI-Ahorro",-G115,0)),2))</f>
        <v>32758.49</v>
      </c>
      <c r="M115" t="inlineStr" s="0">
        <is>
          <t>AUT-20260427-114</t>
        </is>
      </c>
      <c r="N115" t="inlineStr" s="0">
        <is>
          <t>00-Administración</t>
        </is>
      </c>
      <c r="O115" t="inlineStr" s="0">
        <is>
          <t/>
        </is>
      </c>
    </row>
    <row r="116">
      <c r="A116" t="inlineStr" s="0">
        <is>
          <t>ALT-26-115</t>
        </is>
      </c>
      <c r="B116" t="inlineStr" s="0">
        <is>
          <t>2026-04-27</t>
        </is>
      </c>
      <c r="C116" t="inlineStr" s="0">
        <is>
          <t>abril</t>
        </is>
      </c>
      <c r="D116" t="inlineStr" s="0">
        <is>
          <t>Pago servicio Sergio contador</t>
        </is>
      </c>
      <c r="E116" t="inlineStr" s="0">
        <is>
          <t>5209 - Honorarios profesionales</t>
        </is>
      </c>
      <c r="F116" t="str" s="0">
        <f>IF(E116="","",IFERROR(VLOOKUP(E116,Config!$F$2:$G$60,2,FALSE),"Gasto"))</f>
        <v>Gasto</v>
      </c>
      <c r="G116" s="2">
        <v>350.0</v>
      </c>
      <c r="H116" s="2">
        <f>IF(G116="","",IF(IFERROR(VLOOKUP(E116,Config!$F$2:$H$60,3,FALSE),"Exento")="Afecto",ROUND(G116-(G116/1.12),2),0))</f>
        <v>37.5</v>
      </c>
      <c r="I116" s="2">
        <f>IF(G116="","",ROUND(G116-H116,2))</f>
        <v>312.5</v>
      </c>
      <c r="J116" t="inlineStr" s="0">
        <is>
          <t>BI- Monetaria</t>
        </is>
      </c>
      <c r="K116" s="3">
        <f>IF(G116="","",ROUND(K115+IF(J116="BI-Ahorro",0,IF(F116="Gasto",-G116,G116)),2))</f>
        <v>85232.0</v>
      </c>
      <c r="L116" s="2">
        <f>IF(G116="","",ROUND(L115+IF(LEFT(E116,4)="2102",G116,IF(J116="BI-Ahorro",-G116,0)),2))</f>
        <v>32758.49</v>
      </c>
      <c r="M116" t="inlineStr" s="0">
        <is>
          <t>AUT-20260427-115</t>
        </is>
      </c>
      <c r="N116" t="inlineStr" s="0">
        <is>
          <t>00-Administración</t>
        </is>
      </c>
      <c r="O116" t="inlineStr" s="0">
        <is>
          <t/>
        </is>
      </c>
    </row>
    <row r="117">
      <c r="A117" t="inlineStr" s="0">
        <is>
          <t>ALT-26-116</t>
        </is>
      </c>
      <c r="B117" t="inlineStr" s="0">
        <is>
          <t>2026-04-27</t>
        </is>
      </c>
      <c r="C117" t="inlineStr" s="0">
        <is>
          <t>abril</t>
        </is>
      </c>
      <c r="D117" t="inlineStr" s="0">
        <is>
          <t>Fondo provisiones laborales</t>
        </is>
      </c>
      <c r="E117" t="inlineStr" s="0">
        <is>
          <t>2102 - Provisiones Laborales</t>
        </is>
      </c>
      <c r="F117" t="str" s="0">
        <f>IF(E117="","",IFERROR(VLOOKUP(E117,Config!$F$2:$G$60,2,FALSE),"Gasto"))</f>
        <v>Gasto</v>
      </c>
      <c r="G117" s="2">
        <v>11552.0</v>
      </c>
      <c r="H117" s="2">
        <f>IF(G117="","",IF(IFERROR(VLOOKUP(E117,Config!$F$2:$H$60,3,FALSE),"Exento")="Afecto",ROUND(G117-(G117/1.12),2),0))</f>
        <v>0.0</v>
      </c>
      <c r="I117" s="2">
        <f>IF(G117="","",ROUND(G117-H117,2))</f>
        <v>11552.0</v>
      </c>
      <c r="J117" t="inlineStr" s="0">
        <is>
          <t>BI- Monetaria</t>
        </is>
      </c>
      <c r="K117" s="3">
        <f>IF(G117="","",ROUND(K116+IF(J117="BI-Ahorro",0,IF(F117="Gasto",-G117,G117)),2))</f>
        <v>73680.0</v>
      </c>
      <c r="L117" s="2">
        <f>IF(G117="","",ROUND(L116+IF(LEFT(E117,4)="2102",G117,IF(J117="BI-Ahorro",-G117,0)),2))</f>
        <v>44310.49</v>
      </c>
      <c r="M117" t="inlineStr" s="0">
        <is>
          <t>AUT-20260427-116</t>
        </is>
      </c>
      <c r="N117" t="inlineStr" s="0">
        <is>
          <t>00-Administración</t>
        </is>
      </c>
      <c r="O117" t="inlineStr" s="0">
        <is>
          <t/>
        </is>
      </c>
    </row>
    <row r="118">
      <c r="A118" t="inlineStr" s="0">
        <is>
          <t>ALT-26-117</t>
        </is>
      </c>
      <c r="B118" t="inlineStr" s="0">
        <is>
          <t>2026-04-27</t>
        </is>
      </c>
      <c r="C118" t="inlineStr" s="0">
        <is>
          <t>abril</t>
        </is>
      </c>
      <c r="D118" t="inlineStr" s="0">
        <is>
          <t>Pago Nauta Estudio Redes sociales</t>
        </is>
      </c>
      <c r="E118" t="inlineStr" s="0">
        <is>
          <t>5209 - Honorarios profesionales</t>
        </is>
      </c>
      <c r="F118" t="str" s="0">
        <f>IF(E118="","",IFERROR(VLOOKUP(E118,Config!$F$2:$G$60,2,FALSE),"Gasto"))</f>
        <v>Gasto</v>
      </c>
      <c r="G118" s="2">
        <v>1600.0</v>
      </c>
      <c r="H118" s="2">
        <f>IF(G118="","",IF(IFERROR(VLOOKUP(E118,Config!$F$2:$H$60,3,FALSE),"Exento")="Afecto",ROUND(G118-(G118/1.12),2),0))</f>
        <v>171.43</v>
      </c>
      <c r="I118" s="2">
        <f>IF(G118="","",ROUND(G118-H118,2))</f>
        <v>1428.57</v>
      </c>
      <c r="J118" t="inlineStr" s="0">
        <is>
          <t>BI- Monetaria</t>
        </is>
      </c>
      <c r="K118" s="3">
        <f>IF(G118="","",ROUND(K117+IF(J118="BI-Ahorro",0,IF(F118="Gasto",-G118,G118)),2))</f>
        <v>72080.0</v>
      </c>
      <c r="L118" s="2">
        <f>IF(G118="","",ROUND(L117+IF(LEFT(E118,4)="2102",G118,IF(J118="BI-Ahorro",-G118,0)),2))</f>
        <v>44310.49</v>
      </c>
      <c r="M118" t="inlineStr" s="0">
        <is>
          <t>AUT-20260427-117</t>
        </is>
      </c>
      <c r="N118" t="inlineStr" s="0">
        <is>
          <t>00-Administración</t>
        </is>
      </c>
      <c r="O118" t="inlineStr" s="0">
        <is>
          <t/>
        </is>
      </c>
    </row>
    <row r="119">
      <c r="A119" t="inlineStr" s="0">
        <is>
          <t>ALT-26-118</t>
        </is>
      </c>
      <c r="B119" t="inlineStr" s="0">
        <is>
          <t>2026-04-29</t>
        </is>
      </c>
      <c r="C119" t="inlineStr" s="0">
        <is>
          <t>abril</t>
        </is>
      </c>
      <c r="D119" t="inlineStr" s="0">
        <is>
          <t>Pago Gabachas equipo ALTUS</t>
        </is>
      </c>
      <c r="E119" t="inlineStr" s="0">
        <is>
          <t>2101 - Proveedores Locales</t>
        </is>
      </c>
      <c r="F119" t="str" s="0">
        <f>IF(E119="","",IFERROR(VLOOKUP(E119,Config!$F$2:$G$60,2,FALSE),"Gasto"))</f>
        <v>Gasto</v>
      </c>
      <c r="G119" s="2">
        <v>595.0</v>
      </c>
      <c r="H119" s="2">
        <f>IF(G119="","",IF(IFERROR(VLOOKUP(E119,Config!$F$2:$H$60,3,FALSE),"Exento")="Afecto",ROUND(G119-(G119/1.12),2),0))</f>
        <v>63.75</v>
      </c>
      <c r="I119" s="2">
        <f>IF(G119="","",ROUND(G119-H119,2))</f>
        <v>531.25</v>
      </c>
      <c r="J119" t="inlineStr" s="0">
        <is>
          <t>BI- Monetaria</t>
        </is>
      </c>
      <c r="K119" s="3">
        <f>IF(G119="","",ROUND(K118+IF(J119="BI-Ahorro",0,IF(F119="Gasto",-G119,G119)),2))</f>
        <v>71485.0</v>
      </c>
      <c r="L119" s="2">
        <f>IF(G119="","",ROUND(L118+IF(LEFT(E119,4)="2102",G119,IF(J119="BI-Ahorro",-G119,0)),2))</f>
        <v>44310.49</v>
      </c>
      <c r="M119" t="inlineStr" s="0">
        <is>
          <t>AUT-20260429-118</t>
        </is>
      </c>
      <c r="N119" t="inlineStr" s="0">
        <is>
          <t>00-Administración</t>
        </is>
      </c>
      <c r="O119" t="inlineStr" s="0">
        <is>
          <t/>
        </is>
      </c>
    </row>
    <row r="120">
      <c r="A120" t="inlineStr" s="0">
        <is>
          <t>ALT-26-119</t>
        </is>
      </c>
      <c r="B120" t="inlineStr" s="0">
        <is>
          <t>2026-04-30</t>
        </is>
      </c>
      <c r="C120" t="inlineStr" s="0">
        <is>
          <t>abril</t>
        </is>
      </c>
      <c r="D120" t="inlineStr" s="0">
        <is>
          <t>Pago complemento playeras Polo</t>
        </is>
      </c>
      <c r="E120" t="inlineStr" s="0">
        <is>
          <t>5203 - Papelería, útiles y suministros</t>
        </is>
      </c>
      <c r="F120" t="str" s="0">
        <f>IF(E120="","",IFERROR(VLOOKUP(E120,Config!$F$2:$G$60,2,FALSE),"Gasto"))</f>
        <v>Gasto</v>
      </c>
      <c r="G120" s="2">
        <v>436.0</v>
      </c>
      <c r="H120" s="2">
        <f>IF(G120="","",IF(IFERROR(VLOOKUP(E120,Config!$F$2:$H$60,3,FALSE),"Exento")="Afecto",ROUND(G120-(G120/1.12),2),0))</f>
        <v>46.71</v>
      </c>
      <c r="I120" s="2">
        <f>IF(G120="","",ROUND(G120-H120,2))</f>
        <v>389.29</v>
      </c>
      <c r="J120" t="inlineStr" s="0">
        <is>
          <t>BI- Monetaria</t>
        </is>
      </c>
      <c r="K120" s="3">
        <f>IF(G120="","",ROUND(K119+IF(J120="BI-Ahorro",0,IF(F120="Gasto",-G120,G120)),2))</f>
        <v>71049.0</v>
      </c>
      <c r="L120" s="2">
        <f>IF(G120="","",ROUND(L119+IF(LEFT(E120,4)="2102",G120,IF(J120="BI-Ahorro",-G120,0)),2))</f>
        <v>44310.49</v>
      </c>
      <c r="M120" t="inlineStr" s="0">
        <is>
          <t>Factura 9 Camisas Colegio Altus.pdf</t>
        </is>
      </c>
      <c r="N120" t="inlineStr" s="0">
        <is>
          <t>00-Administración</t>
        </is>
      </c>
      <c r="O120" t="inlineStr" s="0">
        <is>
          <t/>
        </is>
      </c>
    </row>
    <row r="121">
      <c r="A121" t="inlineStr" s="0">
        <is>
          <t>ALT-26-120</t>
        </is>
      </c>
      <c r="B121" t="inlineStr" s="0">
        <is>
          <t>2026-04-30</t>
        </is>
      </c>
      <c r="C121" t="inlineStr" s="0">
        <is>
          <t>abril</t>
        </is>
      </c>
      <c r="D121" t="inlineStr" s="0">
        <is>
          <t>Trámite inscripcion IGSS</t>
        </is>
      </c>
      <c r="E121" t="inlineStr" s="0">
        <is>
          <t>5210 - Impuestos, tasas y arbitrios</t>
        </is>
      </c>
      <c r="F121" t="str" s="0">
        <f>IF(E121="","",IFERROR(VLOOKUP(E121,Config!$F$2:$G$60,2,FALSE),"Gasto"))</f>
        <v>Gasto</v>
      </c>
      <c r="G121" s="2">
        <v>250.0</v>
      </c>
      <c r="H121" s="2">
        <f>IF(G121="","",IF(IFERROR(VLOOKUP(E121,Config!$F$2:$H$60,3,FALSE),"Exento")="Afecto",ROUND(G121-(G121/1.12),2),0))</f>
        <v>0.0</v>
      </c>
      <c r="I121" s="2">
        <f>IF(G121="","",ROUND(G121-H121,2))</f>
        <v>250.0</v>
      </c>
      <c r="J121" t="inlineStr" s="0">
        <is>
          <t>BI- Monetaria</t>
        </is>
      </c>
      <c r="K121" s="3">
        <f>IF(G121="","",ROUND(K120+IF(J121="BI-Ahorro",0,IF(F121="Gasto",-G121,G121)),2))</f>
        <v>70799.0</v>
      </c>
      <c r="L121" s="2">
        <f>IF(G121="","",ROUND(L120+IF(LEFT(E121,4)="2102",G121,IF(J121="BI-Ahorro",-G121,0)),2))</f>
        <v>44310.49</v>
      </c>
      <c r="M121" t="inlineStr" s="0">
        <is>
          <t>AUT-20260430-120</t>
        </is>
      </c>
      <c r="N121" t="inlineStr" s="0">
        <is>
          <t>00-Administración</t>
        </is>
      </c>
      <c r="O121" t="inlineStr" s="0">
        <is>
          <t/>
        </is>
      </c>
    </row>
    <row r="122">
      <c r="A122" t="inlineStr" s="0">
        <is>
          <t>ALT-26-121</t>
        </is>
      </c>
      <c r="B122" t="inlineStr" s="0">
        <is>
          <t>2026-05-01</t>
        </is>
      </c>
      <c r="C122" t="inlineStr" s="0">
        <is>
          <t>mayo</t>
        </is>
      </c>
      <c r="D122" t="inlineStr" s="0">
        <is>
          <t>Débito BiCheque comisión manejo de cuenta mayo</t>
        </is>
      </c>
      <c r="E122" t="inlineStr" s="0">
        <is>
          <t>5210 - Impuestos, tasas y arbitrios</t>
        </is>
      </c>
      <c r="F122" t="str" s="0">
        <f>IF(E122="","",IFERROR(VLOOKUP(E122,Config!$F$2:$G$60,2,FALSE),"Gasto"))</f>
        <v>Gasto</v>
      </c>
      <c r="G122" s="2">
        <v>15.0</v>
      </c>
      <c r="H122" s="2">
        <f>IF(G122="","",IF(IFERROR(VLOOKUP(E122,Config!$F$2:$H$60,3,FALSE),"Exento")="Afecto",ROUND(G122-(G122/1.12),2),0))</f>
        <v>0.0</v>
      </c>
      <c r="I122" s="2">
        <f>IF(G122="","",ROUND(G122-H122,2))</f>
        <v>15.0</v>
      </c>
      <c r="J122" t="inlineStr" s="0">
        <is>
          <t>BI- Monetaria</t>
        </is>
      </c>
      <c r="K122" s="3">
        <f>IF(G122="","",ROUND(K121+IF(J122="BI-Ahorro",0,IF(F122="Gasto",-G122,G122)),2))</f>
        <v>70784.0</v>
      </c>
      <c r="L122" s="2">
        <f>IF(G122="","",ROUND(L121+IF(LEFT(E122,4)="2102",G122,IF(J122="BI-Ahorro",-G122,0)),2))</f>
        <v>44310.49</v>
      </c>
      <c r="M122" t="inlineStr" s="0">
        <is>
          <t>BI-308785</t>
        </is>
      </c>
      <c r="N122" t="inlineStr" s="0">
        <is>
          <t>00-Administración</t>
        </is>
      </c>
      <c r="O122" t="inlineStr" s="0">
        <is>
          <t>Agregado según extracto BI 01/05/2026 (DEBITO BICHEQUE)</t>
        </is>
      </c>
    </row>
    <row r="123">
      <c r="A123" t="inlineStr" s="0">
        <is>
          <t>ALT-26-122</t>
        </is>
      </c>
      <c r="B123" t="inlineStr" s="0">
        <is>
          <t>2026-05-01</t>
        </is>
      </c>
      <c r="C123" t="inlineStr" s="0">
        <is>
          <t>mayo</t>
        </is>
      </c>
      <c r="D123" t="inlineStr" s="0">
        <is>
          <t>Pago Lourdes Escribá</t>
        </is>
      </c>
      <c r="E123" t="inlineStr" s="0">
        <is>
          <t>5209 - Honorarios profesionales</t>
        </is>
      </c>
      <c r="F123" t="str" s="0">
        <f>IF(E123="","",IFERROR(VLOOKUP(E123,Config!$F$2:$G$60,2,FALSE),"Gasto"))</f>
        <v>Gasto</v>
      </c>
      <c r="G123" s="2">
        <v>1454.0</v>
      </c>
      <c r="H123" s="2">
        <f>IF(G123="","",IF(IFERROR(VLOOKUP(E123,Config!$F$2:$H$60,3,FALSE),"Exento")="Afecto",ROUND(G123-(G123/1.12),2),0))</f>
        <v>155.79</v>
      </c>
      <c r="I123" s="2">
        <f>IF(G123="","",ROUND(G123-H123,2))</f>
        <v>1298.21</v>
      </c>
      <c r="J123" t="inlineStr" s="0">
        <is>
          <t>BI- Monetaria</t>
        </is>
      </c>
      <c r="K123" s="3">
        <f>IF(G123="","",ROUND(K122+IF(J123="BI-Ahorro",0,IF(F123="Gasto",-G123,G123)),2))</f>
        <v>69330.0</v>
      </c>
      <c r="L123" s="2">
        <f>IF(G123="","",ROUND(L122+IF(LEFT(E123,4)="2102",G123,IF(J123="BI-Ahorro",-G123,0)),2))</f>
        <v>44310.49</v>
      </c>
      <c r="M123" t="inlineStr" s="0">
        <is>
          <t>BI-1153410</t>
        </is>
      </c>
      <c r="N123" t="inlineStr" s="0">
        <is>
          <t>00-Administración</t>
        </is>
      </c>
      <c r="O123" t="inlineStr" s="0">
        <is>
          <t>Conciliado con extracto BI 01/05/2026</t>
        </is>
      </c>
    </row>
    <row r="124">
      <c r="A124" t="inlineStr" s="0">
        <is>
          <t>ALT-26-123</t>
        </is>
      </c>
      <c r="B124" t="inlineStr" s="0">
        <is>
          <t>2026-05-04</t>
        </is>
      </c>
      <c r="C124" t="inlineStr" s="0">
        <is>
          <t>mayo</t>
        </is>
      </c>
      <c r="D124" t="inlineStr" s="0">
        <is>
          <t>Cobro mensualidad Gabriel Ruíz</t>
        </is>
      </c>
      <c r="E124" t="inlineStr" s="0">
        <is>
          <t>4102 - Colegiaturas Mensuales</t>
        </is>
      </c>
      <c r="F124" t="str" s="0">
        <f>IF(E124="","",IFERROR(VLOOKUP(E124,Config!$F$2:$G$60,2,FALSE),"Gasto"))</f>
        <v>Ingreso</v>
      </c>
      <c r="G124" s="2">
        <v>9300.0</v>
      </c>
      <c r="H124" s="2">
        <f>IF(G124="","",IF(IFERROR(VLOOKUP(E124,Config!$F$2:$H$60,3,FALSE),"Exento")="Afecto",ROUND(G124-(G124/1.12),2),0))</f>
        <v>0.0</v>
      </c>
      <c r="I124" s="2">
        <f>IF(G124="","",ROUND(G124-H124,2))</f>
        <v>9300.0</v>
      </c>
      <c r="J124" t="inlineStr" s="0">
        <is>
          <t>BI- Monetaria</t>
        </is>
      </c>
      <c r="K124" s="3">
        <f>IF(G124="","",ROUND(K123+IF(J124="BI-Ahorro",0,IF(F124="Gasto",-G124,G124)),2))</f>
        <v>78630.0</v>
      </c>
      <c r="L124" s="2">
        <f>IF(G124="","",ROUND(L123+IF(LEFT(E124,4)="2102",G124,IF(J124="BI-Ahorro",-G124,0)),2))</f>
        <v>44310.49</v>
      </c>
      <c r="M124" t="inlineStr" s="0">
        <is>
          <t>BI-4197036</t>
        </is>
      </c>
      <c r="N124" t="inlineStr" s="0">
        <is>
          <t>01-Pre-Primaria / 02-Primaria</t>
        </is>
      </c>
      <c r="O124" t="inlineStr" s="0">
        <is>
          <t>Conciliado con extracto BI 04/05/2026</t>
        </is>
      </c>
    </row>
    <row r="125">
      <c r="A125" t="inlineStr" s="0">
        <is>
          <t>ALT-26-124</t>
        </is>
      </c>
      <c r="B125" t="inlineStr" s="0">
        <is>
          <t>2026-05-04</t>
        </is>
      </c>
      <c r="C125" t="inlineStr" s="0">
        <is>
          <t>mayo</t>
        </is>
      </c>
      <c r="D125" t="inlineStr" s="0">
        <is>
          <t>Cobro 3 playeras polo de Gabriel Ruíz</t>
        </is>
      </c>
      <c r="E125" t="inlineStr" s="0">
        <is>
          <t>4201 - Venta de Libros y Uniformes</t>
        </is>
      </c>
      <c r="F125" t="str" s="0">
        <f>IF(E125="","",IFERROR(VLOOKUP(E125,Config!$F$2:$G$60,2,FALSE),"Gasto"))</f>
        <v>Ingreso</v>
      </c>
      <c r="G125" s="2">
        <v>300.0</v>
      </c>
      <c r="H125" s="2">
        <f>IF(G125="","",IF(IFERROR(VLOOKUP(E125,Config!$F$2:$H$60,3,FALSE),"Exento")="Afecto",ROUND(G125-(G125/1.12),2),0))</f>
        <v>0.0</v>
      </c>
      <c r="I125" s="2">
        <f>IF(G125="","",ROUND(G125-H125,2))</f>
        <v>300.0</v>
      </c>
      <c r="J125" t="inlineStr" s="0">
        <is>
          <t>BI- Monetaria</t>
        </is>
      </c>
      <c r="K125" s="3">
        <f>IF(G125="","",ROUND(K124+IF(J125="BI-Ahorro",0,IF(F125="Gasto",-G125,G125)),2))</f>
        <v>78930.0</v>
      </c>
      <c r="L125" s="2">
        <f>IF(G125="","",ROUND(L124+IF(LEFT(E125,4)="2102",G125,IF(J125="BI-Ahorro",-G125,0)),2))</f>
        <v>44310.49</v>
      </c>
      <c r="M125" t="inlineStr" s="0">
        <is>
          <t>BI-5143727</t>
        </is>
      </c>
      <c r="N125" t="inlineStr" s="0">
        <is>
          <t>00-Administración</t>
        </is>
      </c>
      <c r="O125" t="inlineStr" s="0">
        <is>
          <t>Conciliado con extracto BI 05/05/2026 (Playeras Gabriel Ruíz)</t>
        </is>
      </c>
    </row>
    <row r="126">
      <c r="A126" t="inlineStr" s="0">
        <is>
          <t>ALT-26-125</t>
        </is>
      </c>
      <c r="B126" t="inlineStr" s="0">
        <is>
          <t>2026-05-04</t>
        </is>
      </c>
      <c r="C126" t="inlineStr" s="0">
        <is>
          <t>mayo</t>
        </is>
      </c>
      <c r="D126" t="inlineStr" s="0">
        <is>
          <t>Cobro mensualidad Giulia Fiorini</t>
        </is>
      </c>
      <c r="E126" t="inlineStr" s="0">
        <is>
          <t>4102 - Colegiaturas Mensuales</t>
        </is>
      </c>
      <c r="F126" t="str" s="0">
        <f>IF(E126="","",IFERROR(VLOOKUP(E126,Config!$F$2:$G$60,2,FALSE),"Gasto"))</f>
        <v>Ingreso</v>
      </c>
      <c r="G126" s="2">
        <v>1850.0</v>
      </c>
      <c r="H126" s="2">
        <f>IF(G126="","",IF(IFERROR(VLOOKUP(E126,Config!$F$2:$H$60,3,FALSE),"Exento")="Afecto",ROUND(G126-(G126/1.12),2),0))</f>
        <v>0.0</v>
      </c>
      <c r="I126" s="2">
        <f>IF(G126="","",ROUND(G126-H126,2))</f>
        <v>1850.0</v>
      </c>
      <c r="J126" t="inlineStr" s="0">
        <is>
          <t>BI- Monetaria</t>
        </is>
      </c>
      <c r="K126" s="3">
        <f>IF(G126="","",ROUND(K125+IF(J126="BI-Ahorro",0,IF(F126="Gasto",-G126,G126)),2))</f>
        <v>80780.0</v>
      </c>
      <c r="L126" s="2">
        <f>IF(G126="","",ROUND(L125+IF(LEFT(E126,4)="2102",G126,IF(J126="BI-Ahorro",-G126,0)),2))</f>
        <v>44310.49</v>
      </c>
      <c r="M126" t="inlineStr" s="0">
        <is>
          <t>BI-191776-A</t>
        </is>
      </c>
      <c r="N126" t="inlineStr" s="0">
        <is>
          <t>01-Pre-Primaria / 02-Primaria</t>
        </is>
      </c>
      <c r="O126" t="inlineStr" s="0">
        <is>
          <t>Parte de ACH Dilson Gerardo Fiori Q2,158.00</t>
        </is>
      </c>
    </row>
    <row r="127">
      <c r="A127" t="inlineStr" s="0">
        <is>
          <t>ALT-26-126</t>
        </is>
      </c>
      <c r="B127" t="inlineStr" s="0">
        <is>
          <t>2026-05-04</t>
        </is>
      </c>
      <c r="C127" t="inlineStr" s="0">
        <is>
          <t>mayo</t>
        </is>
      </c>
      <c r="D127" t="inlineStr" s="0">
        <is>
          <t>Cobro anticipo 2/6 inscripcion Giulia Fiorini 2026</t>
        </is>
      </c>
      <c r="E127" t="inlineStr" s="0">
        <is>
          <t>4101 - Inscripciones</t>
        </is>
      </c>
      <c r="F127" t="str" s="0">
        <f>IF(E127="","",IFERROR(VLOOKUP(E127,Config!$F$2:$G$60,2,FALSE),"Gasto"))</f>
        <v>Ingreso</v>
      </c>
      <c r="G127" s="2">
        <v>308.0</v>
      </c>
      <c r="H127" s="2">
        <f>IF(G127="","",IF(IFERROR(VLOOKUP(E127,Config!$F$2:$H$60,3,FALSE),"Exento")="Afecto",ROUND(G127-(G127/1.12),2),0))</f>
        <v>0.0</v>
      </c>
      <c r="I127" s="2">
        <f>IF(G127="","",ROUND(G127-H127,2))</f>
        <v>308.0</v>
      </c>
      <c r="J127" t="inlineStr" s="0">
        <is>
          <t>BI- Monetaria</t>
        </is>
      </c>
      <c r="K127" s="3">
        <f>IF(G127="","",ROUND(K126+IF(J127="BI-Ahorro",0,IF(F127="Gasto",-G127,G127)),2))</f>
        <v>81088.0</v>
      </c>
      <c r="L127" s="2">
        <f>IF(G127="","",ROUND(L126+IF(LEFT(E127,4)="2102",G127,IF(J127="BI-Ahorro",-G127,0)),2))</f>
        <v>44310.49</v>
      </c>
      <c r="M127" t="inlineStr" s="0">
        <is>
          <t>BI-191776-B</t>
        </is>
      </c>
      <c r="N127" t="inlineStr" s="0">
        <is>
          <t>01-Pre-Primaria / 02-Primaria</t>
        </is>
      </c>
      <c r="O127" t="inlineStr" s="0">
        <is>
          <t>Parte de ACH Dilson Gerardo Fiori Q2,158.00</t>
        </is>
      </c>
    </row>
    <row r="128">
      <c r="A128" t="inlineStr" s="0">
        <is>
          <t>ALT-26-127</t>
        </is>
      </c>
      <c r="B128" t="inlineStr" s="0">
        <is>
          <t>2026-05-04</t>
        </is>
      </c>
      <c r="C128" t="inlineStr" s="0">
        <is>
          <t>mayo</t>
        </is>
      </c>
      <c r="D128" t="inlineStr" s="0">
        <is>
          <t>Pago Google Workspace_altus US</t>
        </is>
      </c>
      <c r="E128" t="inlineStr" s="0">
        <is>
          <t>5212 - Telecomunicaciones e internet</t>
        </is>
      </c>
      <c r="F128" t="str" s="0">
        <f>IF(E128="","",IFERROR(VLOOKUP(E128,Config!$F$2:$G$60,2,FALSE),"Gasto"))</f>
        <v>Gasto</v>
      </c>
      <c r="G128" s="2">
        <v>235.57</v>
      </c>
      <c r="H128" s="2">
        <f>IF(G128="","",IF(IFERROR(VLOOKUP(E128,Config!$F$2:$H$60,3,FALSE),"Exento")="Afecto",ROUND(G128-(G128/1.12),2),0))</f>
        <v>25.24</v>
      </c>
      <c r="I128" s="2">
        <f>IF(G128="","",ROUND(G128-H128,2))</f>
        <v>210.33</v>
      </c>
      <c r="J128" t="inlineStr" s="0">
        <is>
          <t>BI- Monetaria</t>
        </is>
      </c>
      <c r="K128" s="3">
        <f>IF(G128="","",ROUND(K127+IF(J128="BI-Ahorro",0,IF(F128="Gasto",-G128,G128)),2))</f>
        <v>80852.43</v>
      </c>
      <c r="L128" s="2">
        <f>IF(G128="","",ROUND(L127+IF(LEFT(E128,4)="2102",G128,IF(J128="BI-Ahorro",-G128,0)),2))</f>
        <v>44310.49</v>
      </c>
      <c r="M128" t="inlineStr" s="0">
        <is>
          <t>BI-193922</t>
        </is>
      </c>
      <c r="N128" t="inlineStr" s="0">
        <is>
          <t>00-Administración</t>
        </is>
      </c>
      <c r="O128" t="inlineStr" s="0">
        <is>
          <t>Conciliado con extracto BI 04/05/2026</t>
        </is>
      </c>
    </row>
    <row r="129">
      <c r="A129" t="inlineStr" s="0">
        <is>
          <t>ALT-26-128</t>
        </is>
      </c>
      <c r="B129" t="inlineStr" s="0">
        <is>
          <t>2026-05-05</t>
        </is>
      </c>
      <c r="C129" t="inlineStr" s="0">
        <is>
          <t>mayo</t>
        </is>
      </c>
      <c r="D129" t="inlineStr" s="0">
        <is>
          <t>Cobro mensualidad  mayo Andrei González</t>
        </is>
      </c>
      <c r="E129" t="inlineStr" s="0">
        <is>
          <t>4102 - Colegiaturas Mensuales</t>
        </is>
      </c>
      <c r="F129" t="str" s="0">
        <f>IF(E129="","",IFERROR(VLOOKUP(E129,Config!$F$2:$G$60,2,FALSE),"Gasto"))</f>
        <v>Ingreso</v>
      </c>
      <c r="G129" s="2">
        <v>3800.0</v>
      </c>
      <c r="H129" s="2">
        <f>IF(G129="","",IF(IFERROR(VLOOKUP(E129,Config!$F$2:$H$60,3,FALSE),"Exento")="Afecto",ROUND(G129-(G129/1.12),2),0))</f>
        <v>0.0</v>
      </c>
      <c r="I129" s="2">
        <f>IF(G129="","",ROUND(G129-H129,2))</f>
        <v>3800.0</v>
      </c>
      <c r="J129" t="inlineStr" s="0">
        <is>
          <t>BI- Monetaria</t>
        </is>
      </c>
      <c r="K129" s="3">
        <f>IF(G129="","",ROUND(K128+IF(J129="BI-Ahorro",0,IF(F129="Gasto",-G129,G129)),2))</f>
        <v>84652.43</v>
      </c>
      <c r="L129" s="2">
        <f>IF(G129="","",ROUND(L128+IF(LEFT(E129,4)="2102",G129,IF(J129="BI-Ahorro",-G129,0)),2))</f>
        <v>44310.49</v>
      </c>
      <c r="M129" t="inlineStr" s="0">
        <is>
          <t>BI-4248733</t>
        </is>
      </c>
      <c r="N129" t="inlineStr" s="0">
        <is>
          <t>01-Pre-Primaria / 02-Primaria</t>
        </is>
      </c>
      <c r="O129" t="inlineStr" s="0">
        <is>
          <t>Conciliado con extracto BI 04/05/2026</t>
        </is>
      </c>
    </row>
    <row r="130">
      <c r="A130" t="inlineStr" s="0">
        <is>
          <t>ALT-26-129</t>
        </is>
      </c>
      <c r="B130" t="inlineStr" s="0">
        <is>
          <t>2026-05-06</t>
        </is>
      </c>
      <c r="C130" t="inlineStr" s="0">
        <is>
          <t>mayo</t>
        </is>
      </c>
      <c r="D130" t="inlineStr" s="0">
        <is>
          <t>Cobro mensualidad mayo  Mateo Toribio</t>
        </is>
      </c>
      <c r="E130" t="inlineStr" s="0">
        <is>
          <t>4102 - Colegiaturas Mensuales</t>
        </is>
      </c>
      <c r="F130" t="str" s="0">
        <f>IF(E130="","",IFERROR(VLOOKUP(E130,Config!$F$2:$G$60,2,FALSE),"Gasto"))</f>
        <v>Ingreso</v>
      </c>
      <c r="G130" s="2">
        <v>9300.0</v>
      </c>
      <c r="H130" s="2">
        <f>IF(G130="","",IF(IFERROR(VLOOKUP(E130,Config!$F$2:$H$60,3,FALSE),"Exento")="Afecto",ROUND(G130-(G130/1.12),2),0))</f>
        <v>0.0</v>
      </c>
      <c r="I130" s="2">
        <f>IF(G130="","",ROUND(G130-H130,2))</f>
        <v>9300.0</v>
      </c>
      <c r="J130" t="inlineStr" s="0">
        <is>
          <t>BI- Monetaria</t>
        </is>
      </c>
      <c r="K130" s="3">
        <f>IF(G130="","",ROUND(K129+IF(J130="BI-Ahorro",0,IF(F130="Gasto",-G130,G130)),2))</f>
        <v>93952.43</v>
      </c>
      <c r="L130" s="2">
        <f>IF(G130="","",ROUND(L129+IF(LEFT(E130,4)="2102",G130,IF(J130="BI-Ahorro",-G130,0)),2))</f>
        <v>44310.49</v>
      </c>
      <c r="M130" t="inlineStr" s="0">
        <is>
          <t>BI-5186041</t>
        </is>
      </c>
      <c r="N130" t="inlineStr" s="0">
        <is>
          <t>01-Pre-Primaria / 02-Primaria</t>
        </is>
      </c>
      <c r="O130" t="inlineStr" s="0">
        <is>
          <t>Conciliado con extracto BI 05/05/2026</t>
        </is>
      </c>
    </row>
    <row r="131">
      <c r="A131" t="inlineStr" s="0">
        <is>
          <t>ALT-26-130</t>
        </is>
      </c>
      <c r="B131" t="inlineStr" s="0">
        <is>
          <t>2026-05-06</t>
        </is>
      </c>
      <c r="C131" t="inlineStr" s="0">
        <is>
          <t>mayo</t>
        </is>
      </c>
      <c r="D131" t="inlineStr" s="0">
        <is>
          <t>Cobro mensualidad mayo Luís Felipe Guzmán</t>
        </is>
      </c>
      <c r="E131" t="inlineStr" s="0">
        <is>
          <t>4102 - Colegiaturas Mensuales</t>
        </is>
      </c>
      <c r="F131" t="str" s="0">
        <f>IF(E131="","",IFERROR(VLOOKUP(E131,Config!$F$2:$G$60,2,FALSE),"Gasto"))</f>
        <v>Ingreso</v>
      </c>
      <c r="G131" s="2">
        <v>9300.0</v>
      </c>
      <c r="H131" s="2">
        <f>IF(G131="","",IF(IFERROR(VLOOKUP(E131,Config!$F$2:$H$60,3,FALSE),"Exento")="Afecto",ROUND(G131-(G131/1.12),2),0))</f>
        <v>0.0</v>
      </c>
      <c r="I131" s="2">
        <f>IF(G131="","",ROUND(G131-H131,2))</f>
        <v>9300.0</v>
      </c>
      <c r="J131" t="inlineStr" s="0">
        <is>
          <t>BI- Monetaria</t>
        </is>
      </c>
      <c r="K131" s="3">
        <f>IF(G131="","",ROUND(K130+IF(J131="BI-Ahorro",0,IF(F131="Gasto",-G131,G131)),2))</f>
        <v>103252.43</v>
      </c>
      <c r="L131" s="2">
        <f>IF(G131="","",ROUND(L130+IF(LEFT(E131,4)="2102",G131,IF(J131="BI-Ahorro",-G131,0)),2))</f>
        <v>44310.49</v>
      </c>
      <c r="M131" t="inlineStr" s="0">
        <is>
          <t>BI-5219578</t>
        </is>
      </c>
      <c r="N131" t="inlineStr" s="0">
        <is>
          <t>01-Pre-Primaria / 02-Primaria</t>
        </is>
      </c>
      <c r="O131" t="inlineStr" s="0">
        <is>
          <t>Conciliado con extracto BI 05/05/2026 (Pamela Sosa / Luís Felipe)</t>
        </is>
      </c>
    </row>
    <row r="132">
      <c r="A132" t="inlineStr" s="0">
        <is>
          <t>ALT-26-131</t>
        </is>
      </c>
      <c r="B132" t="inlineStr" s="0">
        <is>
          <t>2026-05-05</t>
        </is>
      </c>
      <c r="C132" t="inlineStr" s="0">
        <is>
          <t>mayo</t>
        </is>
      </c>
      <c r="D132" t="inlineStr" s="0">
        <is>
          <t>Cobro mensualidad mayo Adriana García</t>
        </is>
      </c>
      <c r="E132" t="inlineStr" s="0">
        <is>
          <t>4102 - Colegiaturas Mensuales</t>
        </is>
      </c>
      <c r="F132" t="str" s="0">
        <f>IF(E132="","",IFERROR(VLOOKUP(E132,Config!$F$2:$G$60,2,FALSE),"Gasto"))</f>
        <v>Ingreso</v>
      </c>
      <c r="G132" s="2">
        <v>9300.0</v>
      </c>
      <c r="H132" s="2">
        <f>IF(G132="","",IF(IFERROR(VLOOKUP(E132,Config!$F$2:$H$60,3,FALSE),"Exento")="Afecto",ROUND(G132-(G132/1.12),2),0))</f>
        <v>0.0</v>
      </c>
      <c r="I132" s="2">
        <f>IF(G132="","",ROUND(G132-H132,2))</f>
        <v>9300.0</v>
      </c>
      <c r="J132" t="inlineStr" s="0">
        <is>
          <t>BI- Monetaria</t>
        </is>
      </c>
      <c r="K132" s="3">
        <f>IF(G132="","",ROUND(K131+IF(J132="BI-Ahorro",0,IF(F132="Gasto",-G132,G132)),2))</f>
        <v>112552.43</v>
      </c>
      <c r="L132" s="2">
        <f>IF(G132="","",ROUND(L131+IF(LEFT(E132,4)="2102",G132,IF(J132="BI-Ahorro",-G132,0)),2))</f>
        <v>44310.49</v>
      </c>
      <c r="M132" t="inlineStr" s="0">
        <is>
          <t>BI-5136775</t>
        </is>
      </c>
      <c r="N132" t="inlineStr" s="0">
        <is>
          <t>01-Pre-Primaria / 02-Primaria</t>
        </is>
      </c>
      <c r="O132" t="inlineStr" s="0">
        <is>
          <t>Conciliado con extracto BI 05/05/2026</t>
        </is>
      </c>
    </row>
    <row r="133">
      <c r="A133" t="inlineStr" s="0">
        <is>
          <t>ALT-26-132</t>
        </is>
      </c>
      <c r="B133" t="inlineStr" s="0">
        <is>
          <t>2026-05-05</t>
        </is>
      </c>
      <c r="C133" t="inlineStr" s="0">
        <is>
          <t>mayo</t>
        </is>
      </c>
      <c r="D133" t="inlineStr" s="0">
        <is>
          <t>Cobro playera polo Adriana García</t>
        </is>
      </c>
      <c r="E133" t="inlineStr" s="0">
        <is>
          <t>4201 - Venta de Libros y Uniformes</t>
        </is>
      </c>
      <c r="F133" t="str" s="0">
        <f>IF(E133="","",IFERROR(VLOOKUP(E133,Config!$F$2:$G$60,2,FALSE),"Gasto"))</f>
        <v>Ingreso</v>
      </c>
      <c r="G133" s="2">
        <v>100.0</v>
      </c>
      <c r="H133" s="2">
        <f>IF(G133="","",IF(IFERROR(VLOOKUP(E133,Config!$F$2:$H$60,3,FALSE),"Exento")="Afecto",ROUND(G133-(G133/1.12),2),0))</f>
        <v>0.0</v>
      </c>
      <c r="I133" s="2">
        <f>IF(G133="","",ROUND(G133-H133,2))</f>
        <v>100.0</v>
      </c>
      <c r="J133" t="inlineStr" s="0">
        <is>
          <t>BI- Monetaria</t>
        </is>
      </c>
      <c r="K133" s="3">
        <f>IF(G133="","",ROUND(K132+IF(J133="BI-Ahorro",0,IF(F133="Gasto",-G133,G133)),2))</f>
        <v>112652.43</v>
      </c>
      <c r="L133" s="2">
        <f>IF(G133="","",ROUND(L132+IF(LEFT(E133,4)="2102",G133,IF(J133="BI-Ahorro",-G133,0)),2))</f>
        <v>44310.49</v>
      </c>
      <c r="M133" t="inlineStr" s="0">
        <is>
          <t>BI-5162566</t>
        </is>
      </c>
      <c r="N133" t="inlineStr" s="0">
        <is>
          <t>00-Administración</t>
        </is>
      </c>
      <c r="O133" t="inlineStr" s="0">
        <is>
          <t>Conciliado con extracto BI 05/05/2026</t>
        </is>
      </c>
    </row>
    <row r="134">
      <c r="A134" t="inlineStr" s="0">
        <is>
          <t>ALT-26-133</t>
        </is>
      </c>
      <c r="B134" t="inlineStr" s="0">
        <is>
          <t>2026-05-08</t>
        </is>
      </c>
      <c r="C134" t="inlineStr" s="0">
        <is>
          <t>mayo</t>
        </is>
      </c>
      <c r="D134" t="inlineStr" s="0">
        <is>
          <t>Pago anticipo 1/2 Papelería maestra Glendy</t>
        </is>
      </c>
      <c r="E134" t="inlineStr" s="0">
        <is>
          <t>5209 - Honorarios profesionales</t>
        </is>
      </c>
      <c r="F134" t="str" s="0">
        <f>IF(E134="","",IFERROR(VLOOKUP(E134,Config!$F$2:$G$60,2,FALSE),"Gasto"))</f>
        <v>Gasto</v>
      </c>
      <c r="G134" s="2">
        <v>1000.0</v>
      </c>
      <c r="H134" s="2">
        <f>IF(G134="","",IF(IFERROR(VLOOKUP(E134,Config!$F$2:$H$60,3,FALSE),"Exento")="Afecto",ROUND(G134-(G134/1.12),2),0))</f>
        <v>107.14</v>
      </c>
      <c r="I134" s="2">
        <f>IF(G134="","",ROUND(G134-H134,2))</f>
        <v>892.86</v>
      </c>
      <c r="J134" t="inlineStr" s="0">
        <is>
          <t>BI- Monetaria</t>
        </is>
      </c>
      <c r="K134" s="3">
        <f>IF(G134="","",ROUND(K133+IF(J134="BI-Ahorro",0,IF(F134="Gasto",-G134,G134)),2))</f>
        <v>111652.43</v>
      </c>
      <c r="L134" s="2">
        <f>IF(G134="","",ROUND(L133+IF(LEFT(E134,4)="2102",G134,IF(J134="BI-Ahorro",-G134,0)),2))</f>
        <v>44310.49</v>
      </c>
      <c r="M134" t="inlineStr" s="0">
        <is>
          <t>BI-8179307</t>
        </is>
      </c>
      <c r="N134" t="inlineStr" s="0">
        <is>
          <t>00-Administración</t>
        </is>
      </c>
      <c r="O134" t="inlineStr" s="0">
        <is>
          <t>Conciliado con extracto BI 08/05/2026</t>
        </is>
      </c>
    </row>
    <row r="135">
      <c r="A135" t="inlineStr" s="0">
        <is>
          <t>ALT-26-134</t>
        </is>
      </c>
      <c r="B135" t="inlineStr" s="0">
        <is>
          <t>2026-05-08</t>
        </is>
      </c>
      <c r="C135" t="inlineStr" s="0">
        <is>
          <t>mayo</t>
        </is>
      </c>
      <c r="D135" t="inlineStr" s="0">
        <is>
          <t>Pago IGGS patronal con cuenta de provisiones</t>
        </is>
      </c>
      <c r="E135" t="inlineStr" s="0">
        <is>
          <t>2103 - IGSS por Pagar</t>
        </is>
      </c>
      <c r="F135" t="str" s="0">
        <f>IF(E135="","",IFERROR(VLOOKUP(E135,Config!$F$2:$G$60,2,FALSE),"Gasto"))</f>
        <v>Gasto</v>
      </c>
      <c r="G135" s="2">
        <v>13662.0</v>
      </c>
      <c r="H135" s="2">
        <f>IF(G135="","",IF(IFERROR(VLOOKUP(E135,Config!$F$2:$H$60,3,FALSE),"Exento")="Afecto",ROUND(G135-(G135/1.12),2),0))</f>
        <v>0.0</v>
      </c>
      <c r="I135" s="2">
        <f>IF(G135="","",ROUND(G135-H135,2))</f>
        <v>13662.0</v>
      </c>
      <c r="J135" t="inlineStr" s="0">
        <is>
          <t>BI-Ahorro</t>
        </is>
      </c>
      <c r="K135" s="3">
        <f>IF(G135="","",ROUND(K134+IF(J135="BI-Ahorro",0,IF(F135="Gasto",-G135,G135)),2))</f>
        <v>111652.43</v>
      </c>
      <c r="L135" s="2">
        <f>IF(G135="","",ROUND(L134+IF(LEFT(E135,4)="2102",G135,IF(J135="BI-Ahorro",-G135,0)),2))</f>
        <v>30648.49</v>
      </c>
      <c r="M135" t="inlineStr" s="0">
        <is>
          <t>AHO-IGSS-EneMar</t>
        </is>
      </c>
      <c r="N135" t="inlineStr" s="0">
        <is>
          <t>00-Administración</t>
        </is>
      </c>
      <c r="O135" t="inlineStr" s="0">
        <is>
          <t>Pagado desde BI-Ahorro (Liquida pasivo 2103 IGSS)</t>
        </is>
      </c>
    </row>
    <row r="136">
      <c r="A136" t="inlineStr" s="0">
        <is>
          <t>ALT-26-135</t>
        </is>
      </c>
      <c r="B136" t="inlineStr" s="0">
        <is>
          <t>2026-05-09</t>
        </is>
      </c>
      <c r="C136" t="inlineStr" s="0">
        <is>
          <t>mayo</t>
        </is>
      </c>
      <c r="D136" t="inlineStr" s="0">
        <is>
          <t>Cobro mensualidad mayo Rodrigo Gallinsa</t>
        </is>
      </c>
      <c r="E136" t="inlineStr" s="0">
        <is>
          <t>4102 - Colegiaturas Mensuales</t>
        </is>
      </c>
      <c r="F136" t="str" s="0">
        <f>IF(E136="","",IFERROR(VLOOKUP(E136,Config!$F$2:$G$60,2,FALSE),"Gasto"))</f>
        <v>Ingreso</v>
      </c>
      <c r="G136" s="2">
        <v>6300.0</v>
      </c>
      <c r="H136" s="2">
        <f>IF(G136="","",IF(IFERROR(VLOOKUP(E136,Config!$F$2:$H$60,3,FALSE),"Exento")="Afecto",ROUND(G136-(G136/1.12),2),0))</f>
        <v>0.0</v>
      </c>
      <c r="I136" s="2">
        <f>IF(G136="","",ROUND(G136-H136,2))</f>
        <v>6300.0</v>
      </c>
      <c r="J136" t="inlineStr" s="0">
        <is>
          <t>BI- Monetaria</t>
        </is>
      </c>
      <c r="K136" s="3">
        <f>IF(G136="","",ROUND(K135+IF(J136="BI-Ahorro",0,IF(F136="Gasto",-G136,G136)),2))</f>
        <v>117952.43</v>
      </c>
      <c r="L136" s="2">
        <f>IF(G136="","",ROUND(L135+IF(LEFT(E136,4)="2102",G136,IF(J136="BI-Ahorro",-G136,0)),2))</f>
        <v>30648.49</v>
      </c>
      <c r="M136" t="inlineStr" s="0">
        <is>
          <t>BI-9157844</t>
        </is>
      </c>
      <c r="N136" t="inlineStr" s="0">
        <is>
          <t>01-Pre-Primaria / 02-Primaria</t>
        </is>
      </c>
      <c r="O136" t="inlineStr" s="0">
        <is>
          <t>Conciliado con extracto BI 09/05/2026 (Docto 9157844 Q6,300)</t>
        </is>
      </c>
    </row>
    <row r="137">
      <c r="A137" t="inlineStr" s="0">
        <is>
          <t>ALT-26-136</t>
        </is>
      </c>
      <c r="B137" t="inlineStr" s="0">
        <is>
          <t>2026-05-09</t>
        </is>
      </c>
      <c r="C137" t="inlineStr" s="0">
        <is>
          <t>mayo</t>
        </is>
      </c>
      <c r="D137" t="inlineStr" s="0">
        <is>
          <t>Cobro actividades día de la madre abuelas</t>
        </is>
      </c>
      <c r="E137" t="inlineStr" s="0">
        <is>
          <t>4200 - Ingresos Comerciales (Afectos)</t>
        </is>
      </c>
      <c r="F137" t="str" s="0">
        <f>IF(E137="","",IFERROR(VLOOKUP(E137,Config!$F$2:$G$60,2,FALSE),"Gasto"))</f>
        <v>Ingreso</v>
      </c>
      <c r="G137" s="2">
        <v>300.0</v>
      </c>
      <c r="H137" s="2">
        <f>IF(G137="","",IF(IFERROR(VLOOKUP(E137,Config!$F$2:$H$60,3,FALSE),"Exento")="Afecto",ROUND(G137-(G137/1.12),2),0))</f>
        <v>0.0</v>
      </c>
      <c r="I137" s="2">
        <f>IF(G137="","",ROUND(G137-H137,2))</f>
        <v>300.0</v>
      </c>
      <c r="J137" t="inlineStr" s="0">
        <is>
          <t>BI- Monetaria</t>
        </is>
      </c>
      <c r="K137" s="3">
        <f>IF(G137="","",ROUND(K136+IF(J137="BI-Ahorro",0,IF(F137="Gasto",-G137,G137)),2))</f>
        <v>118252.43</v>
      </c>
      <c r="L137" s="2">
        <f>IF(G137="","",ROUND(L136+IF(LEFT(E137,4)="2102",G137,IF(J137="BI-Ahorro",-G137,0)),2))</f>
        <v>30648.49</v>
      </c>
      <c r="M137" t="inlineStr" s="0">
        <is>
          <t>BI-8119072</t>
        </is>
      </c>
      <c r="N137" t="inlineStr" s="0">
        <is>
          <t>00-Administración</t>
        </is>
      </c>
      <c r="O137" t="inlineStr" s="0">
        <is>
          <t>Conciliado con extracto BI 08/05/2026</t>
        </is>
      </c>
    </row>
    <row r="138">
      <c r="A138" t="inlineStr" s="0">
        <is>
          <t>ALT-26-137</t>
        </is>
      </c>
      <c r="B138" t="inlineStr" s="0">
        <is>
          <t>2026-05-12</t>
        </is>
      </c>
      <c r="C138" t="inlineStr" s="0">
        <is>
          <t>mayo</t>
        </is>
      </c>
      <c r="D138" t="inlineStr" s="0">
        <is>
          <t>Pago 2/2 Actividad día de la madre</t>
        </is>
      </c>
      <c r="E138" t="inlineStr" s="0">
        <is>
          <t>5209 - Honorarios profesionales</t>
        </is>
      </c>
      <c r="F138" t="str" s="0">
        <f>IF(E138="","",IFERROR(VLOOKUP(E138,Config!$F$2:$G$60,2,FALSE),"Gasto"))</f>
        <v>Gasto</v>
      </c>
      <c r="G138" s="2">
        <v>750.0</v>
      </c>
      <c r="H138" s="2">
        <f>IF(G138="","",IF(IFERROR(VLOOKUP(E138,Config!$F$2:$H$60,3,FALSE),"Exento")="Afecto",ROUND(G138-(G138/1.12),2),0))</f>
        <v>80.36</v>
      </c>
      <c r="I138" s="2">
        <f>IF(G138="","",ROUND(G138-H138,2))</f>
        <v>669.64</v>
      </c>
      <c r="J138" t="inlineStr" s="0">
        <is>
          <t>BI- Monetaria</t>
        </is>
      </c>
      <c r="K138" s="3">
        <f>IF(G138="","",ROUND(K137+IF(J138="BI-Ahorro",0,IF(F138="Gasto",-G138,G138)),2))</f>
        <v>117502.43</v>
      </c>
      <c r="L138" s="2">
        <f>IF(G138="","",ROUND(L137+IF(LEFT(E138,4)="2102",G138,IF(J138="BI-Ahorro",-G138,0)),2))</f>
        <v>30648.49</v>
      </c>
      <c r="M138" t="inlineStr" s="0">
        <is>
          <t>BI-12199600</t>
        </is>
      </c>
      <c r="N138" t="inlineStr" s="0">
        <is>
          <t>00-Administración</t>
        </is>
      </c>
      <c r="O138" t="inlineStr" s="0">
        <is>
          <t>Conciliado con extracto BI 12/05/2026</t>
        </is>
      </c>
    </row>
    <row r="139">
      <c r="A139" t="inlineStr" s="0">
        <is>
          <t>ALT-26-138</t>
        </is>
      </c>
      <c r="B139" t="inlineStr" s="0">
        <is>
          <t>2026-05-12</t>
        </is>
      </c>
      <c r="C139" t="inlineStr" s="0">
        <is>
          <t>mayo</t>
        </is>
      </c>
      <c r="D139" t="inlineStr" s="0">
        <is>
          <t>Cobro anticipo 1/2 mensualidad mayo Günther Márquez</t>
        </is>
      </c>
      <c r="E139" t="inlineStr" s="0">
        <is>
          <t>4102 - Colegiaturas Mensuales</t>
        </is>
      </c>
      <c r="F139" t="str" s="0">
        <f>IF(E139="","",IFERROR(VLOOKUP(E139,Config!$F$2:$G$60,2,FALSE),"Gasto"))</f>
        <v>Ingreso</v>
      </c>
      <c r="G139" s="2">
        <v>2758.33</v>
      </c>
      <c r="H139" s="2">
        <f>IF(G139="","",IF(IFERROR(VLOOKUP(E139,Config!$F$2:$H$60,3,FALSE),"Exento")="Afecto",ROUND(G139-(G139/1.12),2),0))</f>
        <v>0.0</v>
      </c>
      <c r="I139" s="2">
        <f>IF(G139="","",ROUND(G139-H139,2))</f>
        <v>2758.33</v>
      </c>
      <c r="J139" t="inlineStr" s="0">
        <is>
          <t>BI- Monetaria</t>
        </is>
      </c>
      <c r="K139" s="3">
        <f>IF(G139="","",ROUND(K138+IF(J139="BI-Ahorro",0,IF(F139="Gasto",-G139,G139)),2))</f>
        <v>120260.76</v>
      </c>
      <c r="L139" s="2">
        <f>IF(G139="","",ROUND(L138+IF(LEFT(E139,4)="2102",G139,IF(J139="BI-Ahorro",-G139,0)),2))</f>
        <v>30648.49</v>
      </c>
      <c r="M139" t="inlineStr" s="0">
        <is>
          <t>BI-198254</t>
        </is>
      </c>
      <c r="N139" t="inlineStr" s="0">
        <is>
          <t>01-Pre-Primaria / 02-Primaria</t>
        </is>
      </c>
      <c r="O139" t="inlineStr" s="0">
        <is>
          <t>Conciliado con extracto BI 12/05/2026</t>
        </is>
      </c>
    </row>
    <row r="140">
      <c r="A140" t="inlineStr" s="0">
        <is>
          <t>ALT-26-139</t>
        </is>
      </c>
      <c r="B140" t="inlineStr" s="0">
        <is>
          <t>2026-05-13</t>
        </is>
      </c>
      <c r="C140" t="inlineStr" s="0">
        <is>
          <t>mayo</t>
        </is>
      </c>
      <c r="D140" t="inlineStr" s="0">
        <is>
          <t>Pago ISR Empleados</t>
        </is>
      </c>
      <c r="E140" t="inlineStr" s="0">
        <is>
          <t>2105 - ISR Retenciones por Pagar</t>
        </is>
      </c>
      <c r="F140" t="str" s="0">
        <f>IF(E140="","",IFERROR(VLOOKUP(E140,Config!$F$2:$G$60,2,FALSE),"Gasto"))</f>
        <v>Gasto</v>
      </c>
      <c r="G140" s="2">
        <v>375.85</v>
      </c>
      <c r="H140" s="2">
        <f>IF(G140="","",IF(IFERROR(VLOOKUP(E140,Config!$F$2:$H$60,3,FALSE),"Exento")="Afecto",ROUND(G140-(G140/1.12),2),0))</f>
        <v>0.0</v>
      </c>
      <c r="I140" s="2">
        <f>IF(G140="","",ROUND(G140-H140,2))</f>
        <v>375.85</v>
      </c>
      <c r="J140" t="inlineStr" s="0">
        <is>
          <t>BI- Monetaria</t>
        </is>
      </c>
      <c r="K140" s="3">
        <f>IF(G140="","",ROUND(K139+IF(J140="BI-Ahorro",0,IF(F140="Gasto",-G140,G140)),2))</f>
        <v>119884.91</v>
      </c>
      <c r="L140" s="2">
        <f>IF(G140="","",ROUND(L139+IF(LEFT(E140,4)="2102",G140,IF(J140="BI-Ahorro",-G140,0)),2))</f>
        <v>30648.49</v>
      </c>
      <c r="M140" t="inlineStr" s="0">
        <is>
          <t>BI-13117655</t>
        </is>
      </c>
      <c r="N140" t="inlineStr" s="0">
        <is>
          <t>00-Administración</t>
        </is>
      </c>
      <c r="O140" t="inlineStr" s="0">
        <is>
          <t>Conciliado con extracto BI 13/05/2026</t>
        </is>
      </c>
    </row>
    <row r="141">
      <c r="A141" t="inlineStr" s="0">
        <is>
          <t>ALT-26-140</t>
        </is>
      </c>
      <c r="B141" t="inlineStr" s="0">
        <is>
          <t>2026-05-13</t>
        </is>
      </c>
      <c r="C141" t="inlineStr" s="0">
        <is>
          <t>mayo</t>
        </is>
      </c>
      <c r="D141" t="inlineStr" s="0">
        <is>
          <t>Pago seguro escolar Giulia Fiorini</t>
        </is>
      </c>
      <c r="E141" t="inlineStr" s="0">
        <is>
          <t>2101 - Proveedores Locales</t>
        </is>
      </c>
      <c r="F141" t="str" s="0">
        <f>IF(E141="","",IFERROR(VLOOKUP(E141,Config!$F$2:$G$60,2,FALSE),"Gasto"))</f>
        <v>Gasto</v>
      </c>
      <c r="G141" s="2">
        <v>147.0</v>
      </c>
      <c r="H141" s="2">
        <f>IF(G141="","",IF(IFERROR(VLOOKUP(E141,Config!$F$2:$H$60,3,FALSE),"Exento")="Afecto",ROUND(G141-(G141/1.12),2),0))</f>
        <v>15.75</v>
      </c>
      <c r="I141" s="2">
        <f>IF(G141="","",ROUND(G141-H141,2))</f>
        <v>131.25</v>
      </c>
      <c r="J141" t="inlineStr" s="0">
        <is>
          <t>BI- Monetaria</t>
        </is>
      </c>
      <c r="K141" s="3">
        <f>IF(G141="","",ROUND(K140+IF(J141="BI-Ahorro",0,IF(F141="Gasto",-G141,G141)),2))</f>
        <v>119737.91</v>
      </c>
      <c r="L141" s="2">
        <f>IF(G141="","",ROUND(L140+IF(LEFT(E141,4)="2102",G141,IF(J141="BI-Ahorro",-G141,0)),2))</f>
        <v>30648.49</v>
      </c>
      <c r="M141" t="inlineStr" s="0">
        <is>
          <t>BI-13254307</t>
        </is>
      </c>
      <c r="N141" t="inlineStr" s="0">
        <is>
          <t>00-Administración</t>
        </is>
      </c>
      <c r="O141" t="inlineStr" s="0">
        <is>
          <t>Conciliado con extracto BI 13/05/2026</t>
        </is>
      </c>
    </row>
    <row r="142">
      <c r="A142" t="inlineStr" s="0">
        <is>
          <t>ALT-26-141</t>
        </is>
      </c>
      <c r="B142" t="inlineStr" s="0">
        <is>
          <t>2026-05-14</t>
        </is>
      </c>
      <c r="C142" t="inlineStr" s="0">
        <is>
          <t>mayo</t>
        </is>
      </c>
      <c r="D142" t="inlineStr" s="0">
        <is>
          <t>Recibo de dondación 1/2 para mobiliario</t>
        </is>
      </c>
      <c r="E142" t="inlineStr" s="0">
        <is>
          <t>4203 - Donaciones recibidas</t>
        </is>
      </c>
      <c r="F142" t="str" s="0">
        <f>IF(E142="","",IFERROR(VLOOKUP(E142,Config!$F$2:$G$60,2,FALSE),"Gasto"))</f>
        <v>Ingreso</v>
      </c>
      <c r="G142" s="2">
        <v>12960.0</v>
      </c>
      <c r="H142" s="2">
        <f>IF(G142="","",IF(IFERROR(VLOOKUP(E142,Config!$F$2:$H$60,3,FALSE),"Exento")="Afecto",ROUND(G142-(G142/1.12),2),0))</f>
        <v>0.0</v>
      </c>
      <c r="I142" s="2">
        <f>IF(G142="","",ROUND(G142-H142,2))</f>
        <v>12960.0</v>
      </c>
      <c r="J142" t="inlineStr" s="0">
        <is>
          <t>BI- Monetaria</t>
        </is>
      </c>
      <c r="K142" s="3">
        <f>IF(G142="","",ROUND(K141+IF(J142="BI-Ahorro",0,IF(F142="Gasto",-G142,G142)),2))</f>
        <v>132697.91</v>
      </c>
      <c r="L142" s="2">
        <f>IF(G142="","",ROUND(L141+IF(LEFT(E142,4)="2102",G142,IF(J142="BI-Ahorro",-G142,0)),2))</f>
        <v>30648.49</v>
      </c>
      <c r="M142" t="inlineStr" s="0">
        <is>
          <t>BI-224523</t>
        </is>
      </c>
      <c r="N142" t="inlineStr" s="0">
        <is>
          <t>00-Administración</t>
        </is>
      </c>
      <c r="O142" t="inlineStr" s="0">
        <is>
          <t>Conciliado con extracto BI 14/05/2026 (ACH Fredy Roberto Bolaños)</t>
        </is>
      </c>
    </row>
    <row r="143">
      <c r="A143" t="inlineStr" s="0">
        <is>
          <t>ALT-26-142</t>
        </is>
      </c>
      <c r="B143" t="inlineStr" s="0">
        <is>
          <t>2026-05-15</t>
        </is>
      </c>
      <c r="C143" t="inlineStr" s="0">
        <is>
          <t>mayo</t>
        </is>
      </c>
      <c r="D143" t="inlineStr" s="0">
        <is>
          <t>Pago factura Mobiliario ALTUS</t>
        </is>
      </c>
      <c r="E143" t="inlineStr" s="0">
        <is>
          <t>1501 - Mobiliario y Equipo</t>
        </is>
      </c>
      <c r="F143" t="str" s="0">
        <f>IF(E143="","",IFERROR(VLOOKUP(E143,Config!$F$2:$G$60,2,FALSE),"Gasto"))</f>
        <v>Gasto</v>
      </c>
      <c r="G143" s="2">
        <v>25285.0</v>
      </c>
      <c r="H143" s="2">
        <f>IF(G143="","",IF(IFERROR(VLOOKUP(E143,Config!$F$2:$H$60,3,FALSE),"Exento")="Afecto",ROUND(G143-(G143/1.12),2),0))</f>
        <v>2709.11</v>
      </c>
      <c r="I143" s="2">
        <f>IF(G143="","",ROUND(G143-H143,2))</f>
        <v>22575.89</v>
      </c>
      <c r="J143" t="inlineStr" s="0">
        <is>
          <t>BI- Monetaria</t>
        </is>
      </c>
      <c r="K143" s="3">
        <f>IF(G143="","",ROUND(K142+IF(J143="BI-Ahorro",0,IF(F143="Gasto",-G143,G143)),2))</f>
        <v>107412.91</v>
      </c>
      <c r="L143" s="2">
        <f>IF(G143="","",ROUND(L142+IF(LEFT(E143,4)="2102",G143,IF(J143="BI-Ahorro",-G143,0)),2))</f>
        <v>30648.49</v>
      </c>
      <c r="M143" t="inlineStr" s="0">
        <is>
          <t>BI-146070-F</t>
        </is>
      </c>
      <c r="N143" t="inlineStr" s="0">
        <is>
          <t>00-Administración</t>
        </is>
      </c>
      <c r="O143" t="inlineStr" s="0">
        <is>
          <t>Factura total Q25,285.00 menos Exención IVA Q2,709.00 = Débito BI-146070 Q22,576.00</t>
        </is>
      </c>
    </row>
    <row r="144">
      <c r="A144" t="inlineStr" s="0">
        <is>
          <t>ALT-26-143</t>
        </is>
      </c>
      <c r="B144" t="inlineStr" s="0">
        <is>
          <t>2026-05-15</t>
        </is>
      </c>
      <c r="C144" t="inlineStr" s="0">
        <is>
          <t>mayo</t>
        </is>
      </c>
      <c r="D144" t="inlineStr" s="0">
        <is>
          <t>Constancia Exención de IVA</t>
        </is>
      </c>
      <c r="E144" t="inlineStr" s="0">
        <is>
          <t>1106 - Exención de IVA</t>
        </is>
      </c>
      <c r="F144" t="str" s="0">
        <f>IF(E144="","",IFERROR(VLOOKUP(E144,Config!$F$2:$G$60,2,FALSE),"Gasto"))</f>
        <v>Activo</v>
      </c>
      <c r="G144" s="2">
        <v>2709.0</v>
      </c>
      <c r="H144" s="2">
        <f>IF(G144="","",IF(IFERROR(VLOOKUP(E144,Config!$F$2:$H$60,3,FALSE),"Exento")="Afecto",ROUND(G144-(G144/1.12),2),0))</f>
        <v>0.0</v>
      </c>
      <c r="I144" s="2">
        <f>IF(G144="","",ROUND(G144-H144,2))</f>
        <v>2709.0</v>
      </c>
      <c r="J144" t="inlineStr" s="0">
        <is>
          <t>BI- Monetaria</t>
        </is>
      </c>
      <c r="K144" s="3">
        <f>IF(G144="","",ROUND(K143+IF(J144="BI-Ahorro",0,IF(F144="Gasto",-G144,G144)),2))</f>
        <v>110121.91</v>
      </c>
      <c r="L144" s="2">
        <f>IF(G144="","",ROUND(L143+IF(LEFT(E144,4)="2102",G144,IF(J144="BI-Ahorro",-G144,0)),2))</f>
        <v>30648.49</v>
      </c>
      <c r="M144" t="inlineStr" s="0">
        <is>
          <t>BI-146070-EX</t>
        </is>
      </c>
      <c r="N144" t="inlineStr" s="0">
        <is>
          <t>00-Administración</t>
        </is>
      </c>
      <c r="O144" t="inlineStr" s="0">
        <is>
          <t>Ajustado de Q2,709.11 a Q2,709.00 para cuadrar exacto con débito bancario BI-146070 (Q22,576.00)</t>
        </is>
      </c>
    </row>
    <row r="145">
      <c r="A145" t="inlineStr" s="0">
        <is>
          <t>ALT-26-144</t>
        </is>
      </c>
      <c r="B145" t="inlineStr" s="0">
        <is>
          <t>2026-05-18</t>
        </is>
      </c>
      <c r="C145" t="inlineStr" s="0">
        <is>
          <t>mayo</t>
        </is>
      </c>
      <c r="D145" t="inlineStr" s="0">
        <is>
          <t>Anticipo 2/6 inscripción 2026 Rodrigo Gallinsa</t>
        </is>
      </c>
      <c r="E145" t="inlineStr" s="0">
        <is>
          <t>4101 - Inscripciones</t>
        </is>
      </c>
      <c r="F145" t="str" s="0">
        <f>IF(E145="","",IFERROR(VLOOKUP(E145,Config!$F$2:$G$60,2,FALSE),"Gasto"))</f>
        <v>Ingreso</v>
      </c>
      <c r="G145" s="2">
        <v>1287.5</v>
      </c>
      <c r="H145" s="2">
        <f>IF(G145="","",IF(IFERROR(VLOOKUP(E145,Config!$F$2:$H$60,3,FALSE),"Exento")="Afecto",ROUND(G145-(G145/1.12),2),0))</f>
        <v>0.0</v>
      </c>
      <c r="I145" s="2">
        <f>IF(G145="","",ROUND(G145-H145,2))</f>
        <v>1287.5</v>
      </c>
      <c r="J145" t="inlineStr" s="0">
        <is>
          <t>BI- Monetaria</t>
        </is>
      </c>
      <c r="K145" s="3">
        <f>IF(G145="","",ROUND(K144+IF(J145="BI-Ahorro",0,IF(F145="Gasto",-G145,G145)),2))</f>
        <v>111409.41</v>
      </c>
      <c r="L145" s="2">
        <f>IF(G145="","",ROUND(L144+IF(LEFT(E145,4)="2102",G145,IF(J145="BI-Ahorro",-G145,0)),2))</f>
        <v>30648.49</v>
      </c>
      <c r="M145" t="inlineStr" s="0">
        <is>
          <t>BI-18150241</t>
        </is>
      </c>
      <c r="N145" t="inlineStr" s="0">
        <is>
          <t>01-Pre-Primaria / 02-Primaria</t>
        </is>
      </c>
      <c r="O145" t="inlineStr" s="0">
        <is>
          <t>Conciliado con extracto BI 18/05/2026</t>
        </is>
      </c>
    </row>
    <row r="146">
      <c r="A146" t="inlineStr" s="0">
        <is>
          <t>ALT-26-145</t>
        </is>
      </c>
      <c r="B146" t="inlineStr" s="0">
        <is>
          <t>2026-05-21</t>
        </is>
      </c>
      <c r="C146" t="inlineStr" s="0">
        <is>
          <t>mayo</t>
        </is>
      </c>
      <c r="D146" t="inlineStr" s="0">
        <is>
          <t>Pago cuotas IGGS Abril</t>
        </is>
      </c>
      <c r="E146" t="inlineStr" s="0">
        <is>
          <t>2103 - IGSS por Pagar</t>
        </is>
      </c>
      <c r="F146" t="str" s="0">
        <f>IF(E146="","",IFERROR(VLOOKUP(E146,Config!$F$2:$G$60,2,FALSE),"Gasto"))</f>
        <v>Gasto</v>
      </c>
      <c r="G146" s="2">
        <v>4554.0</v>
      </c>
      <c r="H146" s="2">
        <f>IF(G146="","",IF(IFERROR(VLOOKUP(E146,Config!$F$2:$H$60,3,FALSE),"Exento")="Afecto",ROUND(G146-(G146/1.12),2),0))</f>
        <v>0.0</v>
      </c>
      <c r="I146" s="2">
        <f>IF(G146="","",ROUND(G146-H146,2))</f>
        <v>4554.0</v>
      </c>
      <c r="J146" t="inlineStr" s="0">
        <is>
          <t>BI-Ahorro</t>
        </is>
      </c>
      <c r="K146" s="3">
        <f>IF(G146="","",ROUND(K145+IF(J146="BI-Ahorro",0,IF(F146="Gasto",-G146,G146)),2))</f>
        <v>111409.41</v>
      </c>
      <c r="L146" s="2">
        <f>IF(G146="","",ROUND(L145+IF(LEFT(E146,4)="2102",G146,IF(J146="BI-Ahorro",-G146,0)),2))</f>
        <v>26094.49</v>
      </c>
      <c r="M146" t="inlineStr" s="0">
        <is>
          <t>AHO-IGSS-Abr</t>
        </is>
      </c>
      <c r="N146" t="inlineStr" s="0">
        <is>
          <t>00-Administración</t>
        </is>
      </c>
      <c r="O146" t="inlineStr" s="0">
        <is>
          <t>Pagado desde BI-Ahorro (Cuotas IGSS Abril)</t>
        </is>
      </c>
    </row>
    <row r="147">
      <c r="A147" t="inlineStr" s="0">
        <is>
          <t>ALT-26-146</t>
        </is>
      </c>
      <c r="B147" t="inlineStr" s="0">
        <is>
          <t>2026-05-21</t>
        </is>
      </c>
      <c r="C147" t="inlineStr" s="0">
        <is>
          <t>mayo</t>
        </is>
      </c>
      <c r="D147" t="inlineStr" s="0">
        <is>
          <t>Provisiones laborales</t>
        </is>
      </c>
      <c r="E147" t="inlineStr" s="0">
        <is>
          <t>2102 - Provisiones Laborales</t>
        </is>
      </c>
      <c r="F147" t="str" s="0">
        <f>IF(E147="","",IFERROR(VLOOKUP(E147,Config!$F$2:$G$60,2,FALSE),"Gasto"))</f>
        <v>Gasto</v>
      </c>
      <c r="G147" s="2">
        <v>6596.0</v>
      </c>
      <c r="H147" s="2">
        <f>IF(G147="","",IF(IFERROR(VLOOKUP(E147,Config!$F$2:$H$60,3,FALSE),"Exento")="Afecto",ROUND(G147-(G147/1.12),2),0))</f>
        <v>0.0</v>
      </c>
      <c r="I147" s="2">
        <f>IF(G147="","",ROUND(G147-H147,2))</f>
        <v>6596.0</v>
      </c>
      <c r="J147" t="inlineStr" s="0">
        <is>
          <t>BI- Monetaria</t>
        </is>
      </c>
      <c r="K147" s="3">
        <f>IF(G147="","",ROUND(K146+IF(J147="BI-Ahorro",0,IF(F147="Gasto",-G147,G147)),2))</f>
        <v>104813.41</v>
      </c>
      <c r="L147" s="2">
        <f>IF(G147="","",ROUND(L146+IF(LEFT(E147,4)="2102",G147,IF(J147="BI-Ahorro",-G147,0)),2))</f>
        <v>32690.49</v>
      </c>
      <c r="M147" t="inlineStr" s="0">
        <is>
          <t>BI-21106875</t>
        </is>
      </c>
      <c r="N147" t="inlineStr" s="0">
        <is>
          <t>00-Administración</t>
        </is>
      </c>
      <c r="O147" t="inlineStr" s="0">
        <is>
          <t>Conciliado con extracto BI 21/05/2026</t>
        </is>
      </c>
    </row>
    <row r="148">
      <c r="A148" t="inlineStr" s="0">
        <is>
          <t>ALT-26-147</t>
        </is>
      </c>
      <c r="B148" t="inlineStr" s="0">
        <is>
          <t>2026-05-27</t>
        </is>
      </c>
      <c r="C148" t="inlineStr" s="0">
        <is>
          <t>mayo</t>
        </is>
      </c>
      <c r="D148" t="inlineStr" s="0">
        <is>
          <t>Pago mes de marzo Lucía Montes</t>
        </is>
      </c>
      <c r="E148" t="inlineStr" s="0">
        <is>
          <t>5101 - Sueldos y Salarios</t>
        </is>
      </c>
      <c r="F148" t="str" s="0">
        <f>IF(E148="","",IFERROR(VLOOKUP(E148,Config!$F$2:$G$60,2,FALSE),"Gasto"))</f>
        <v>Gasto</v>
      </c>
      <c r="G148" s="2">
        <v>8587.64</v>
      </c>
      <c r="H148" s="2">
        <f>IF(G148="","",IF(IFERROR(VLOOKUP(E148,Config!$F$2:$H$60,3,FALSE),"Exento")="Afecto",ROUND(G148-(G148/1.12),2),0))</f>
        <v>0.0</v>
      </c>
      <c r="I148" s="2">
        <f>IF(G148="","",ROUND(G148-H148,2))</f>
        <v>8587.64</v>
      </c>
      <c r="J148" t="inlineStr" s="0">
        <is>
          <t>BI- Monetaria</t>
        </is>
      </c>
      <c r="K148" s="3">
        <f>IF(G148="","",ROUND(K147+IF(J148="BI-Ahorro",0,IF(F148="Gasto",-G148,G148)),2))</f>
        <v>96225.77</v>
      </c>
      <c r="L148" s="2">
        <f>IF(G148="","",ROUND(L147+IF(LEFT(E148,4)="2102",G148,IF(J148="BI-Ahorro",-G148,0)),2))</f>
        <v>32690.49</v>
      </c>
      <c r="M148" t="inlineStr" s="0">
        <is>
          <t>BI-27168396-A</t>
        </is>
      </c>
      <c r="N148" t="inlineStr" s="0">
        <is>
          <t>00-Administración</t>
        </is>
      </c>
      <c r="O148" t="inlineStr" s="0">
        <is>
          <t>Parte de Docto 27168396 (Q8,587.64 sueldo + Q285.00 celular = Q8,872.64)</t>
        </is>
      </c>
    </row>
    <row r="149">
      <c r="A149" t="inlineStr" s="0">
        <is>
          <t>ALT-26-148</t>
        </is>
      </c>
      <c r="B149" t="inlineStr" s="0">
        <is>
          <t>2026-05-27</t>
        </is>
      </c>
      <c r="C149" t="inlineStr" s="0">
        <is>
          <t>mayo</t>
        </is>
      </c>
      <c r="D149" t="inlineStr" s="0">
        <is>
          <t>Pago mes de marzo Jessica Gudiel</t>
        </is>
      </c>
      <c r="E149" t="inlineStr" s="0">
        <is>
          <t>5101 - Sueldos y Salarios</t>
        </is>
      </c>
      <c r="F149" t="str" s="0">
        <f>IF(E149="","",IFERROR(VLOOKUP(E149,Config!$F$2:$G$60,2,FALSE),"Gasto"))</f>
        <v>Gasto</v>
      </c>
      <c r="G149" s="2">
        <v>5862.19</v>
      </c>
      <c r="H149" s="2">
        <f>IF(G149="","",IF(IFERROR(VLOOKUP(E149,Config!$F$2:$H$60,3,FALSE),"Exento")="Afecto",ROUND(G149-(G149/1.12),2),0))</f>
        <v>0.0</v>
      </c>
      <c r="I149" s="2">
        <f>IF(G149="","",ROUND(G149-H149,2))</f>
        <v>5862.19</v>
      </c>
      <c r="J149" t="inlineStr" s="0">
        <is>
          <t>BI- Monetaria</t>
        </is>
      </c>
      <c r="K149" s="3">
        <f>IF(G149="","",ROUND(K148+IF(J149="BI-Ahorro",0,IF(F149="Gasto",-G149,G149)),2))</f>
        <v>90363.58</v>
      </c>
      <c r="L149" s="2">
        <f>IF(G149="","",ROUND(L148+IF(LEFT(E149,4)="2102",G149,IF(J149="BI-Ahorro",-G149,0)),2))</f>
        <v>32690.49</v>
      </c>
      <c r="M149" t="inlineStr" s="0">
        <is>
          <t>BI-192760</t>
        </is>
      </c>
      <c r="N149" t="inlineStr" s="0">
        <is>
          <t>00-Administración</t>
        </is>
      </c>
      <c r="O149" t="inlineStr" s="0">
        <is>
          <t>Conciliado con extracto BI 27/05/2026</t>
        </is>
      </c>
    </row>
    <row r="150">
      <c r="A150" t="inlineStr" s="0">
        <is>
          <t>ALT-26-149</t>
        </is>
      </c>
      <c r="B150" t="inlineStr" s="0">
        <is>
          <t>2026-05-27</t>
        </is>
      </c>
      <c r="C150" t="inlineStr" s="0">
        <is>
          <t>mayo</t>
        </is>
      </c>
      <c r="D150" t="inlineStr" s="0">
        <is>
          <t>Pago mes de marzo Geovanna Velázquez</t>
        </is>
      </c>
      <c r="E150" t="inlineStr" s="0">
        <is>
          <t>5101 - Sueldos y Salarios</t>
        </is>
      </c>
      <c r="F150" t="str" s="0">
        <f>IF(E150="","",IFERROR(VLOOKUP(E150,Config!$F$2:$G$60,2,FALSE),"Gasto"))</f>
        <v>Gasto</v>
      </c>
      <c r="G150" s="2">
        <v>4234.78</v>
      </c>
      <c r="H150" s="2">
        <f>IF(G150="","",IF(IFERROR(VLOOKUP(E150,Config!$F$2:$H$60,3,FALSE),"Exento")="Afecto",ROUND(G150-(G150/1.12),2),0))</f>
        <v>0.0</v>
      </c>
      <c r="I150" s="2">
        <f>IF(G150="","",ROUND(G150-H150,2))</f>
        <v>4234.78</v>
      </c>
      <c r="J150" t="inlineStr" s="0">
        <is>
          <t>BI- Monetaria</t>
        </is>
      </c>
      <c r="K150" s="3">
        <f>IF(G150="","",ROUND(K149+IF(J150="BI-Ahorro",0,IF(F150="Gasto",-G150,G150)),2))</f>
        <v>86128.8</v>
      </c>
      <c r="L150" s="2">
        <f>IF(G150="","",ROUND(L149+IF(LEFT(E150,4)="2102",G150,IF(J150="BI-Ahorro",-G150,0)),2))</f>
        <v>32690.49</v>
      </c>
      <c r="M150" t="inlineStr" s="0">
        <is>
          <t>BI-162323</t>
        </is>
      </c>
      <c r="N150" t="inlineStr" s="0">
        <is>
          <t>00-Administración</t>
        </is>
      </c>
      <c r="O150" t="inlineStr" s="0">
        <is>
          <t>Conciliado con extracto BI 27/05/2026</t>
        </is>
      </c>
    </row>
    <row r="151">
      <c r="A151" t="inlineStr" s="0">
        <is>
          <t>ALT-26-150</t>
        </is>
      </c>
      <c r="B151" t="inlineStr" s="0">
        <is>
          <t>2026-05-27</t>
        </is>
      </c>
      <c r="C151" t="inlineStr" s="0">
        <is>
          <t>mayo</t>
        </is>
      </c>
      <c r="D151" t="inlineStr" s="0">
        <is>
          <t>Pago mes de marzo Suly Sajbochol</t>
        </is>
      </c>
      <c r="E151" t="inlineStr" s="0">
        <is>
          <t>5101 - Sueldos y Salarios</t>
        </is>
      </c>
      <c r="F151" t="str" s="0">
        <f>IF(E151="","",IFERROR(VLOOKUP(E151,Config!$F$2:$G$60,2,FALSE),"Gasto"))</f>
        <v>Gasto</v>
      </c>
      <c r="G151" s="2">
        <v>4234.78</v>
      </c>
      <c r="H151" s="2">
        <f>IF(G151="","",IF(IFERROR(VLOOKUP(E151,Config!$F$2:$H$60,3,FALSE),"Exento")="Afecto",ROUND(G151-(G151/1.12),2),0))</f>
        <v>0.0</v>
      </c>
      <c r="I151" s="2">
        <f>IF(G151="","",ROUND(G151-H151,2))</f>
        <v>4234.78</v>
      </c>
      <c r="J151" t="inlineStr" s="0">
        <is>
          <t>BI- Monetaria</t>
        </is>
      </c>
      <c r="K151" s="3">
        <f>IF(G151="","",ROUND(K150+IF(J151="BI-Ahorro",0,IF(F151="Gasto",-G151,G151)),2))</f>
        <v>81894.02</v>
      </c>
      <c r="L151" s="2">
        <f>IF(G151="","",ROUND(L150+IF(LEFT(E151,4)="2102",G151,IF(J151="BI-Ahorro",-G151,0)),2))</f>
        <v>32690.49</v>
      </c>
      <c r="M151" t="inlineStr" s="0">
        <is>
          <t>BI-186296</t>
        </is>
      </c>
      <c r="N151" t="inlineStr" s="0">
        <is>
          <t>00-Administración</t>
        </is>
      </c>
      <c r="O151" t="inlineStr" s="0">
        <is>
          <t>Conciliado con extracto BI 27/05/2026</t>
        </is>
      </c>
    </row>
    <row r="152">
      <c r="A152" t="inlineStr" s="0">
        <is>
          <t>ALT-26-151</t>
        </is>
      </c>
      <c r="B152" t="inlineStr" s="0">
        <is>
          <t>2026-05-27</t>
        </is>
      </c>
      <c r="C152" t="inlineStr" s="0">
        <is>
          <t>mayo</t>
        </is>
      </c>
      <c r="D152" t="inlineStr" s="0">
        <is>
          <t>Pago mes de marzo Melissa Peña</t>
        </is>
      </c>
      <c r="E152" t="inlineStr" s="0">
        <is>
          <t>5101 - Sueldos y Salarios</t>
        </is>
      </c>
      <c r="F152" t="str" s="0">
        <f>IF(E152="","",IFERROR(VLOOKUP(E152,Config!$F$2:$G$60,2,FALSE),"Gasto"))</f>
        <v>Gasto</v>
      </c>
      <c r="G152" s="2">
        <v>4234.78</v>
      </c>
      <c r="H152" s="2">
        <f>IF(G152="","",IF(IFERROR(VLOOKUP(E152,Config!$F$2:$H$60,3,FALSE),"Exento")="Afecto",ROUND(G152-(G152/1.12),2),0))</f>
        <v>0.0</v>
      </c>
      <c r="I152" s="2">
        <f>IF(G152="","",ROUND(G152-H152,2))</f>
        <v>4234.78</v>
      </c>
      <c r="J152" t="inlineStr" s="0">
        <is>
          <t>BI- Monetaria</t>
        </is>
      </c>
      <c r="K152" s="3">
        <f>IF(G152="","",ROUND(K151+IF(J152="BI-Ahorro",0,IF(F152="Gasto",-G152,G152)),2))</f>
        <v>77659.24</v>
      </c>
      <c r="L152" s="2">
        <f>IF(G152="","",ROUND(L151+IF(LEFT(E152,4)="2102",G152,IF(J152="BI-Ahorro",-G152,0)),2))</f>
        <v>32690.49</v>
      </c>
      <c r="M152" t="inlineStr" s="0">
        <is>
          <t>BI-200393</t>
        </is>
      </c>
      <c r="N152" t="inlineStr" s="0">
        <is>
          <t>00-Administración</t>
        </is>
      </c>
      <c r="O152" t="inlineStr" s="0">
        <is>
          <t>Conciliado con extracto BI 27/05/2026</t>
        </is>
      </c>
    </row>
    <row r="153">
      <c r="A153" t="inlineStr" s="0">
        <is>
          <t>ALT-26-152</t>
        </is>
      </c>
      <c r="B153" t="inlineStr" s="0">
        <is>
          <t>2026-05-27</t>
        </is>
      </c>
      <c r="C153" t="inlineStr" s="0">
        <is>
          <t>mayo</t>
        </is>
      </c>
      <c r="D153" t="inlineStr" s="0">
        <is>
          <t>Donación Fundación Waybi</t>
        </is>
      </c>
      <c r="E153" t="inlineStr" s="0">
        <is>
          <t>5208 - Donaciones</t>
        </is>
      </c>
      <c r="F153" t="str" s="0">
        <f>IF(E153="","",IFERROR(VLOOKUP(E153,Config!$F$2:$G$60,2,FALSE),"Gasto"))</f>
        <v>Gasto</v>
      </c>
      <c r="G153" s="2">
        <v>1930.0</v>
      </c>
      <c r="H153" s="2">
        <f>IF(G153="","",IF(IFERROR(VLOOKUP(E153,Config!$F$2:$H$60,3,FALSE),"Exento")="Afecto",ROUND(G153-(G153/1.12),2),0))</f>
        <v>206.79</v>
      </c>
      <c r="I153" s="2">
        <f>IF(G153="","",ROUND(G153-H153,2))</f>
        <v>1723.21</v>
      </c>
      <c r="J153" t="inlineStr" s="0">
        <is>
          <t>BI- Monetaria</t>
        </is>
      </c>
      <c r="K153" s="3">
        <f>IF(G153="","",ROUND(K152+IF(J153="BI-Ahorro",0,IF(F153="Gasto",-G153,G153)),2))</f>
        <v>75729.24</v>
      </c>
      <c r="L153" s="2">
        <f>IF(G153="","",ROUND(L152+IF(LEFT(E153,4)="2102",G153,IF(J153="BI-Ahorro",-G153,0)),2))</f>
        <v>32690.49</v>
      </c>
      <c r="M153" t="inlineStr" s="0">
        <is>
          <t>BI-219376</t>
        </is>
      </c>
      <c r="N153" t="inlineStr" s="0">
        <is>
          <t>00-Administración</t>
        </is>
      </c>
      <c r="O153" t="inlineStr" s="0">
        <is>
          <t>Conciliado con extracto BI 27/05/2026</t>
        </is>
      </c>
    </row>
    <row r="154">
      <c r="A154" t="inlineStr" s="0">
        <is>
          <t>ALT-26-153</t>
        </is>
      </c>
      <c r="B154" t="inlineStr" s="0">
        <is>
          <t>2026-05-27</t>
        </is>
      </c>
      <c r="C154" t="inlineStr" s="0">
        <is>
          <t>mayo</t>
        </is>
      </c>
      <c r="D154" t="inlineStr" s="0">
        <is>
          <t>Pago celular ALTUS</t>
        </is>
      </c>
      <c r="E154" t="inlineStr" s="0">
        <is>
          <t>5212 - Telecomunicaciones e internet</t>
        </is>
      </c>
      <c r="F154" t="str" s="0">
        <f>IF(E154="","",IFERROR(VLOOKUP(E154,Config!$F$2:$G$60,2,FALSE),"Gasto"))</f>
        <v>Gasto</v>
      </c>
      <c r="G154" s="2">
        <v>285.0</v>
      </c>
      <c r="H154" s="2">
        <f>IF(G154="","",IF(IFERROR(VLOOKUP(E154,Config!$F$2:$H$60,3,FALSE),"Exento")="Afecto",ROUND(G154-(G154/1.12),2),0))</f>
        <v>30.54</v>
      </c>
      <c r="I154" s="2">
        <f>IF(G154="","",ROUND(G154-H154,2))</f>
        <v>254.46</v>
      </c>
      <c r="J154" t="inlineStr" s="0">
        <is>
          <t>BI- Monetaria</t>
        </is>
      </c>
      <c r="K154" s="3">
        <f>IF(G154="","",ROUND(K153+IF(J154="BI-Ahorro",0,IF(F154="Gasto",-G154,G154)),2))</f>
        <v>75444.24</v>
      </c>
      <c r="L154" s="2">
        <f>IF(G154="","",ROUND(L153+IF(LEFT(E154,4)="2102",G154,IF(J154="BI-Ahorro",-G154,0)),2))</f>
        <v>32690.49</v>
      </c>
      <c r="M154" t="inlineStr" s="0">
        <is>
          <t>BI-27168396-B</t>
        </is>
      </c>
      <c r="N154" t="inlineStr" s="0">
        <is>
          <t>00-Administración</t>
        </is>
      </c>
      <c r="O154" t="inlineStr" s="0">
        <is>
          <t>Parte de Docto 27168396 (Q8,587.64 + Q285.00 = Q8,872.64)</t>
        </is>
      </c>
    </row>
    <row r="155">
      <c r="A155" t="inlineStr" s="0">
        <is>
          <t>ALT-26-154</t>
        </is>
      </c>
      <c r="B155" t="inlineStr" s="0">
        <is>
          <t>2026-05-27</t>
        </is>
      </c>
      <c r="C155" t="inlineStr" s="0">
        <is>
          <t>mayo</t>
        </is>
      </c>
      <c r="D155" t="inlineStr" s="0">
        <is>
          <t>Pago servicio Sergio contador</t>
        </is>
      </c>
      <c r="E155" t="inlineStr" s="0">
        <is>
          <t>5209 - Honorarios profesionales</t>
        </is>
      </c>
      <c r="F155" t="str" s="0">
        <f>IF(E155="","",IFERROR(VLOOKUP(E155,Config!$F$2:$G$60,2,FALSE),"Gasto"))</f>
        <v>Gasto</v>
      </c>
      <c r="G155" s="2">
        <v>350.0</v>
      </c>
      <c r="H155" s="2">
        <f>IF(G155="","",IF(IFERROR(VLOOKUP(E155,Config!$F$2:$H$60,3,FALSE),"Exento")="Afecto",ROUND(G155-(G155/1.12),2),0))</f>
        <v>37.5</v>
      </c>
      <c r="I155" s="2">
        <f>IF(G155="","",ROUND(G155-H155,2))</f>
        <v>312.5</v>
      </c>
      <c r="J155" t="inlineStr" s="0">
        <is>
          <t>BI- Monetaria</t>
        </is>
      </c>
      <c r="K155" s="3">
        <f>IF(G155="","",ROUND(K154+IF(J155="BI-Ahorro",0,IF(F155="Gasto",-G155,G155)),2))</f>
        <v>75094.24</v>
      </c>
      <c r="L155" s="2">
        <f>IF(G155="","",ROUND(L154+IF(LEFT(E155,4)="2102",G155,IF(J155="BI-Ahorro",-G155,0)),2))</f>
        <v>32690.49</v>
      </c>
      <c r="M155" t="inlineStr" s="0">
        <is>
          <t>BI-27198679</t>
        </is>
      </c>
      <c r="N155" t="inlineStr" s="0">
        <is>
          <t>00-Administración</t>
        </is>
      </c>
      <c r="O155" t="inlineStr" s="0">
        <is>
          <t>Conciliado con extracto BI 27/05/2026</t>
        </is>
      </c>
    </row>
    <row r="156">
      <c r="A156" t="inlineStr" s="0">
        <is>
          <t>ALT-26-155</t>
        </is>
      </c>
      <c r="B156" t="inlineStr" s="0">
        <is>
          <t>2026-05-27</t>
        </is>
      </c>
      <c r="C156" t="inlineStr" s="0">
        <is>
          <t>mayo</t>
        </is>
      </c>
      <c r="D156" t="inlineStr" s="0">
        <is>
          <t>Fondo provisiones laborales</t>
        </is>
      </c>
      <c r="E156" t="inlineStr" s="0">
        <is>
          <t>2102 - Provisiones Laborales</t>
        </is>
      </c>
      <c r="F156" t="str" s="0">
        <f>IF(E156="","",IFERROR(VLOOKUP(E156,Config!$F$2:$G$60,2,FALSE),"Gasto"))</f>
        <v>Gasto</v>
      </c>
      <c r="G156" s="2">
        <v>11552.0</v>
      </c>
      <c r="H156" s="2">
        <f>IF(G156="","",IF(IFERROR(VLOOKUP(E156,Config!$F$2:$H$60,3,FALSE),"Exento")="Afecto",ROUND(G156-(G156/1.12),2),0))</f>
        <v>0.0</v>
      </c>
      <c r="I156" s="2">
        <f>IF(G156="","",ROUND(G156-H156,2))</f>
        <v>11552.0</v>
      </c>
      <c r="J156" t="inlineStr" s="0">
        <is>
          <t>BI- Monetaria</t>
        </is>
      </c>
      <c r="K156" s="3">
        <f>IF(G156="","",ROUND(K155+IF(J156="BI-Ahorro",0,IF(F156="Gasto",-G156,G156)),2))</f>
        <v>63542.24</v>
      </c>
      <c r="L156" s="2">
        <f>IF(G156="","",ROUND(L155+IF(LEFT(E156,4)="2102",G156,IF(J156="BI-Ahorro",-G156,0)),2))</f>
        <v>44242.49</v>
      </c>
      <c r="M156" t="inlineStr" s="0">
        <is>
          <t>BI-27202924</t>
        </is>
      </c>
      <c r="N156" t="inlineStr" s="0">
        <is>
          <t>00-Administración</t>
        </is>
      </c>
      <c r="O156" t="inlineStr" s="0">
        <is>
          <t>Conciliado con extracto BI 27/05/2026</t>
        </is>
      </c>
    </row>
    <row r="157">
      <c r="A157" t="inlineStr" s="0">
        <is>
          <t>ALT-26-156</t>
        </is>
      </c>
      <c r="B157" t="inlineStr" s="0">
        <is>
          <t>2026-05-27</t>
        </is>
      </c>
      <c r="C157" t="inlineStr" s="0">
        <is>
          <t>mayo</t>
        </is>
      </c>
      <c r="D157" t="inlineStr" s="0">
        <is>
          <t>Pago Nauta Estudio Redes sociales</t>
        </is>
      </c>
      <c r="E157" t="inlineStr" s="0">
        <is>
          <t>5204 - Marketing y Publicidad</t>
        </is>
      </c>
      <c r="F157" t="str" s="0">
        <f>IF(E157="","",IFERROR(VLOOKUP(E157,Config!$F$2:$G$60,2,FALSE),"Gasto"))</f>
        <v>Gasto</v>
      </c>
      <c r="G157" s="2">
        <v>1600.0</v>
      </c>
      <c r="H157" s="2">
        <f>IF(G157="","",IF(IFERROR(VLOOKUP(E157,Config!$F$2:$H$60,3,FALSE),"Exento")="Afecto",ROUND(G157-(G157/1.12),2),0))</f>
        <v>171.43</v>
      </c>
      <c r="I157" s="2">
        <f>IF(G157="","",ROUND(G157-H157,2))</f>
        <v>1428.57</v>
      </c>
      <c r="J157" t="inlineStr" s="0">
        <is>
          <t>BI- Monetaria</t>
        </is>
      </c>
      <c r="K157" s="3">
        <f>IF(G157="","",ROUND(K156+IF(J157="BI-Ahorro",0,IF(F157="Gasto",-G157,G157)),2))</f>
        <v>61942.24</v>
      </c>
      <c r="L157" s="2">
        <f>IF(G157="","",ROUND(L156+IF(LEFT(E157,4)="2102",G157,IF(J157="BI-Ahorro",-G157,0)),2))</f>
        <v>44242.49</v>
      </c>
      <c r="M157" t="inlineStr" s="0">
        <is>
          <t>BI-28212780</t>
        </is>
      </c>
      <c r="N157" t="inlineStr" s="0">
        <is>
          <t>00-Administración</t>
        </is>
      </c>
      <c r="O157" t="inlineStr" s="0">
        <is>
          <t>Conciliado con extracto BI 28/05/2026</t>
        </is>
      </c>
    </row>
    <row r="158">
      <c r="A158" t="inlineStr" s="0">
        <is>
          <t>ALT-26-157</t>
        </is>
      </c>
      <c r="B158" t="inlineStr" s="0">
        <is>
          <t>2026-05-27</t>
        </is>
      </c>
      <c r="C158" t="inlineStr" s="0">
        <is>
          <t>mayo</t>
        </is>
      </c>
      <c r="D158" t="inlineStr" s="0">
        <is>
          <t>Pago Lourdes Escribá</t>
        </is>
      </c>
      <c r="E158" t="inlineStr" s="0">
        <is>
          <t>5209 - Honorarios profesionales</t>
        </is>
      </c>
      <c r="F158" t="str" s="0">
        <f>IF(E158="","",IFERROR(VLOOKUP(E158,Config!$F$2:$G$60,2,FALSE),"Gasto"))</f>
        <v>Gasto</v>
      </c>
      <c r="G158" s="2">
        <v>1454.0</v>
      </c>
      <c r="H158" s="2">
        <f>IF(G158="","",IF(IFERROR(VLOOKUP(E158,Config!$F$2:$H$60,3,FALSE),"Exento")="Afecto",ROUND(G158-(G158/1.12),2),0))</f>
        <v>155.79</v>
      </c>
      <c r="I158" s="2">
        <f>IF(G158="","",ROUND(G158-H158,2))</f>
        <v>1298.21</v>
      </c>
      <c r="J158" t="inlineStr" s="0">
        <is>
          <t>BI- Monetaria</t>
        </is>
      </c>
      <c r="K158" s="3">
        <f>IF(G158="","",ROUND(K157+IF(J158="BI-Ahorro",0,IF(F158="Gasto",-G158,G158)),2))</f>
        <v>60488.24</v>
      </c>
      <c r="L158" s="2">
        <f>IF(G158="","",ROUND(L157+IF(LEFT(E158,4)="2102",G158,IF(J158="BI-Ahorro",-G158,0)),2))</f>
        <v>44242.49</v>
      </c>
      <c r="M158" t="inlineStr" s="0">
        <is>
          <t>BI-27156264</t>
        </is>
      </c>
      <c r="N158" t="inlineStr" s="0">
        <is>
          <t>00-Administración</t>
        </is>
      </c>
      <c r="O158" t="inlineStr" s="0">
        <is>
          <t>Conciliado con extracto BI 27/05/2026</t>
        </is>
      </c>
    </row>
    <row r="159">
      <c r="A159" t="inlineStr" s="0">
        <is>
          <t>ALT-26-158</t>
        </is>
      </c>
      <c r="B159" t="inlineStr" s="0">
        <is>
          <t>2026-05-27</t>
        </is>
      </c>
      <c r="C159" t="inlineStr" s="0">
        <is>
          <t>mayo</t>
        </is>
      </c>
      <c r="D159" t="inlineStr" s="0">
        <is>
          <t>Gastos varios actividad día de la madre</t>
        </is>
      </c>
      <c r="E159" t="inlineStr" s="0">
        <is>
          <t>5205 - Actividades y excursiones</t>
        </is>
      </c>
      <c r="F159" t="str" s="0">
        <f>IF(E159="","",IFERROR(VLOOKUP(E159,Config!$F$2:$G$60,2,FALSE),"Gasto"))</f>
        <v>Gasto</v>
      </c>
      <c r="G159" s="2">
        <v>642.87</v>
      </c>
      <c r="H159" s="2">
        <f>IF(G159="","",IF(IFERROR(VLOOKUP(E159,Config!$F$2:$H$60,3,FALSE),"Exento")="Afecto",ROUND(G159-(G159/1.12),2),0))</f>
        <v>68.88</v>
      </c>
      <c r="I159" s="2">
        <f>IF(G159="","",ROUND(G159-H159,2))</f>
        <v>573.99</v>
      </c>
      <c r="J159" t="inlineStr" s="0">
        <is>
          <t>BI- Monetaria</t>
        </is>
      </c>
      <c r="K159" s="3">
        <f>IF(G159="","",ROUND(K158+IF(J159="BI-Ahorro",0,IF(F159="Gasto",-G159,G159)),2))</f>
        <v>59845.37</v>
      </c>
      <c r="L159" s="2">
        <f>IF(G159="","",ROUND(L158+IF(LEFT(E159,4)="2102",G159,IF(J159="BI-Ahorro",-G159,0)),2))</f>
        <v>44242.49</v>
      </c>
      <c r="M159" t="inlineStr" s="0">
        <is>
          <t>BI-211812</t>
        </is>
      </c>
      <c r="N159" t="inlineStr" s="0">
        <is>
          <t>00-Administración</t>
        </is>
      </c>
      <c r="O159" t="inlineStr" s="0">
        <is>
          <t>Conciliado con extracto BI 27/05/2026</t>
        </is>
      </c>
    </row>
    <row r="160">
      <c r="A160" t="inlineStr" s="0">
        <is>
          <t>ALT-26-159</t>
        </is>
      </c>
      <c r="B160" t="inlineStr" s="0">
        <is>
          <t>2026-05-27</t>
        </is>
      </c>
      <c r="C160" t="inlineStr" s="0">
        <is>
          <t>mayo</t>
        </is>
      </c>
      <c r="D160" t="inlineStr" s="0">
        <is>
          <t>Gasto materiales aula ALTUS</t>
        </is>
      </c>
      <c r="E160" t="inlineStr" s="0">
        <is>
          <t>5203 - Papelería, útiles y suministros</t>
        </is>
      </c>
      <c r="F160" t="str" s="0">
        <f>IF(E160="","",IFERROR(VLOOKUP(E160,Config!$F$2:$G$60,2,FALSE),"Gasto"))</f>
        <v>Gasto</v>
      </c>
      <c r="G160" s="2">
        <v>210.8</v>
      </c>
      <c r="H160" s="2">
        <f>IF(G160="","",IF(IFERROR(VLOOKUP(E160,Config!$F$2:$H$60,3,FALSE),"Exento")="Afecto",ROUND(G160-(G160/1.12),2),0))</f>
        <v>22.59</v>
      </c>
      <c r="I160" s="2">
        <f>IF(G160="","",ROUND(G160-H160,2))</f>
        <v>188.21</v>
      </c>
      <c r="J160" t="inlineStr" s="0">
        <is>
          <t>BI- Monetaria</t>
        </is>
      </c>
      <c r="K160" s="3">
        <f>IF(G160="","",ROUND(K159+IF(J160="BI-Ahorro",0,IF(F160="Gasto",-G160,G160)),2))</f>
        <v>59634.57</v>
      </c>
      <c r="L160" s="2">
        <f>IF(G160="","",ROUND(L159+IF(LEFT(E160,4)="2102",G160,IF(J160="BI-Ahorro",-G160,0)),2))</f>
        <v>44242.49</v>
      </c>
      <c r="M160" t="inlineStr" s="0">
        <is>
          <t>BI-224327</t>
        </is>
      </c>
      <c r="N160" t="inlineStr" s="0">
        <is>
          <t>00-Administración</t>
        </is>
      </c>
      <c r="O160" t="inlineStr" s="0">
        <is>
          <t>Conciliado con extracto BI 29/05/2026</t>
        </is>
      </c>
    </row>
    <row r="161">
      <c r="A161" t="inlineStr" s="0">
        <is>
          <t>ALT-26-160</t>
        </is>
      </c>
      <c r="B161" t="inlineStr" s="0">
        <is>
          <t>2026-06-01</t>
        </is>
      </c>
      <c r="C161" t="inlineStr" s="0">
        <is>
          <t>junio</t>
        </is>
      </c>
      <c r="D161" t="inlineStr" s="0">
        <is>
          <t>Cobro mensualidad junio Andrei González</t>
        </is>
      </c>
      <c r="E161" t="inlineStr" s="0">
        <is>
          <t>4102 - Colegiaturas Mensuales</t>
        </is>
      </c>
      <c r="F161" t="str" s="0">
        <f>IF(E161="","",IFERROR(VLOOKUP(E161,Config!$F$2:$G$60,2,FALSE),"Gasto"))</f>
        <v>Ingreso</v>
      </c>
      <c r="G161" s="2">
        <v>3800.0</v>
      </c>
      <c r="H161" s="2">
        <f>IF(G161="","",IF(IFERROR(VLOOKUP(E161,Config!$F$2:$H$60,3,FALSE),"Exento")="Afecto",ROUND(G161-(G161/1.12),2),0))</f>
        <v>0.0</v>
      </c>
      <c r="I161" s="2">
        <f>IF(G161="","",ROUND(G161-H161,2))</f>
        <v>3800.0</v>
      </c>
      <c r="J161" t="inlineStr" s="0">
        <is>
          <t>BI- Monetaria</t>
        </is>
      </c>
      <c r="K161" s="3">
        <f>IF(G161="","",ROUND(K160+IF(J161="BI-Ahorro",0,IF(F161="Gasto",-G161,G161)),2))</f>
        <v>63434.57</v>
      </c>
      <c r="L161" s="2">
        <f>IF(G161="","",ROUND(L160+IF(LEFT(E161,4)="2102",G161,IF(J161="BI-Ahorro",-G161,0)),2))</f>
        <v>44242.49</v>
      </c>
      <c r="M161" t="inlineStr" s="0">
        <is>
          <t>BI-1104767</t>
        </is>
      </c>
      <c r="N161" t="inlineStr" s="0">
        <is>
          <t>01-Pre-Primaria / 02-Primaria</t>
        </is>
      </c>
      <c r="O161" t="inlineStr" s="0">
        <is>
          <t>Conciliado con extracto BI 01/06/2026</t>
        </is>
      </c>
    </row>
    <row r="162">
      <c r="A162" t="inlineStr" s="0">
        <is>
          <t>ALT-26-161</t>
        </is>
      </c>
      <c r="B162" t="inlineStr" s="0">
        <is>
          <t>2026-06-01</t>
        </is>
      </c>
      <c r="C162" t="inlineStr" s="0">
        <is>
          <t>junio</t>
        </is>
      </c>
      <c r="D162" t="inlineStr" s="0">
        <is>
          <t>Débito BiCheque comisión manejo de cuenta junio</t>
        </is>
      </c>
      <c r="E162" t="inlineStr" s="0">
        <is>
          <t>5210 - Impuestos, tasas y arbitrios</t>
        </is>
      </c>
      <c r="F162" t="str" s="0">
        <f>IF(E162="","",IFERROR(VLOOKUP(E162,Config!$F$2:$G$60,2,FALSE),"Gasto"))</f>
        <v>Gasto</v>
      </c>
      <c r="G162" s="2">
        <v>15.0</v>
      </c>
      <c r="H162" s="2">
        <f>IF(G162="","",IF(IFERROR(VLOOKUP(E162,Config!$F$2:$H$60,3,FALSE),"Exento")="Afecto",ROUND(G162-(G162/1.12),2),0))</f>
        <v>0.0</v>
      </c>
      <c r="I162" s="2">
        <f>IF(G162="","",ROUND(G162-H162,2))</f>
        <v>15.0</v>
      </c>
      <c r="J162" t="inlineStr" s="0">
        <is>
          <t>BI- Monetaria</t>
        </is>
      </c>
      <c r="K162" s="3">
        <f>IF(G162="","",ROUND(K161+IF(J162="BI-Ahorro",0,IF(F162="Gasto",-G162,G162)),2))</f>
        <v>63419.57</v>
      </c>
      <c r="L162" s="2">
        <f>IF(G162="","",ROUND(L161+IF(LEFT(E162,4)="2102",G162,IF(J162="BI-Ahorro",-G162,0)),2))</f>
        <v>44242.49</v>
      </c>
      <c r="M162" t="inlineStr" s="0">
        <is>
          <t>BI-310125</t>
        </is>
      </c>
      <c r="N162" t="inlineStr" s="0">
        <is>
          <t>00-Administración</t>
        </is>
      </c>
      <c r="O162" t="inlineStr" s="0">
        <is>
          <t>Agregado según extracto BI 01/06/2026 (DEBITO BICHEQUE)</t>
        </is>
      </c>
    </row>
    <row r="163">
      <c r="A163" t="inlineStr" s="0">
        <is>
          <t>ALT-26-162</t>
        </is>
      </c>
      <c r="B163" t="inlineStr" s="0">
        <is>
          <t>2026-06-01</t>
        </is>
      </c>
      <c r="C163" t="inlineStr" s="0">
        <is>
          <t>junio</t>
        </is>
      </c>
      <c r="D163" t="inlineStr" s="0">
        <is>
          <t>Pago final 2/2 Papelería maestra Glendy</t>
        </is>
      </c>
      <c r="E163" t="inlineStr" s="0">
        <is>
          <t>5209 - Honorarios profesionales</t>
        </is>
      </c>
      <c r="F163" t="str" s="0">
        <f>IF(E163="","",IFERROR(VLOOKUP(E163,Config!$F$2:$G$60,2,FALSE),"Gasto"))</f>
        <v>Gasto</v>
      </c>
      <c r="G163" s="2">
        <v>1000.0</v>
      </c>
      <c r="H163" s="2">
        <f>IF(G163="","",IF(IFERROR(VLOOKUP(E163,Config!$F$2:$H$60,3,FALSE),"Exento")="Afecto",ROUND(G163-(G163/1.12),2),0))</f>
        <v>107.14</v>
      </c>
      <c r="I163" s="2">
        <f>IF(G163="","",ROUND(G163-H163,2))</f>
        <v>892.86</v>
      </c>
      <c r="J163" t="inlineStr" s="0">
        <is>
          <t>BI- Monetaria</t>
        </is>
      </c>
      <c r="K163" s="3">
        <f>IF(G163="","",ROUND(K162+IF(J163="BI-Ahorro",0,IF(F163="Gasto",-G163,G163)),2))</f>
        <v>62419.57</v>
      </c>
      <c r="L163" s="2">
        <f>IF(G163="","",ROUND(L162+IF(LEFT(E163,4)="2102",G163,IF(J163="BI-Ahorro",-G163,0)),2))</f>
        <v>44242.49</v>
      </c>
      <c r="M163" t="inlineStr" s="0">
        <is>
          <t>BI-1223575</t>
        </is>
      </c>
      <c r="N163" t="inlineStr" s="0">
        <is>
          <t>00-Administración</t>
        </is>
      </c>
      <c r="O163" t="inlineStr" s="0">
        <is>
          <t>Conciliado con extracto BI 01/06/2026</t>
        </is>
      </c>
    </row>
    <row r="164">
      <c r="A164" t="inlineStr" s="0">
        <is>
          <t>ALT-26-163</t>
        </is>
      </c>
      <c r="B164" t="inlineStr" s="0">
        <is>
          <t>2026-06-02</t>
        </is>
      </c>
      <c r="C164" t="inlineStr" s="0">
        <is>
          <t>junio</t>
        </is>
      </c>
      <c r="D164" t="inlineStr" s="0">
        <is>
          <t>Cobro restante 2/2 mensualidad mayo Günther Márquez</t>
        </is>
      </c>
      <c r="E164" t="inlineStr" s="0">
        <is>
          <t>4102 - Colegiaturas Mensuales</t>
        </is>
      </c>
      <c r="F164" t="str" s="0">
        <f>IF(E164="","",IFERROR(VLOOKUP(E164,Config!$F$2:$G$60,2,FALSE),"Gasto"))</f>
        <v>Ingreso</v>
      </c>
      <c r="G164" s="2">
        <v>1042.0</v>
      </c>
      <c r="H164" s="2">
        <f>IF(G164="","",IF(IFERROR(VLOOKUP(E164,Config!$F$2:$H$60,3,FALSE),"Exento")="Afecto",ROUND(G164-(G164/1.12),2),0))</f>
        <v>0.0</v>
      </c>
      <c r="I164" s="2">
        <f>IF(G164="","",ROUND(G164-H164,2))</f>
        <v>1042.0</v>
      </c>
      <c r="J164" t="inlineStr" s="0">
        <is>
          <t>BI- Monetaria</t>
        </is>
      </c>
      <c r="K164" s="3">
        <f>IF(G164="","",ROUND(K163+IF(J164="BI-Ahorro",0,IF(F164="Gasto",-G164,G164)),2))</f>
        <v>63461.57</v>
      </c>
      <c r="L164" s="2">
        <f>IF(G164="","",ROUND(L163+IF(LEFT(E164,4)="2102",G164,IF(J164="BI-Ahorro",-G164,0)),2))</f>
        <v>44242.49</v>
      </c>
      <c r="M164" t="inlineStr" s="0">
        <is>
          <t>BI-158655-A</t>
        </is>
      </c>
      <c r="N164" t="inlineStr" s="0">
        <is>
          <t>01-Pre-Primaria / 02-Primaria</t>
        </is>
      </c>
      <c r="O164" t="inlineStr" s="0">
        <is>
          <t>Parte de transferencia ACH Valeria Márquez Q2,758.33</t>
        </is>
      </c>
    </row>
    <row r="165">
      <c r="A165" t="inlineStr" s="0">
        <is>
          <t>ALT-26-164</t>
        </is>
      </c>
      <c r="B165" t="inlineStr" s="0">
        <is>
          <t>2026-06-02</t>
        </is>
      </c>
      <c r="C165" t="inlineStr" s="0">
        <is>
          <t>junio</t>
        </is>
      </c>
      <c r="D165" t="inlineStr" s="0">
        <is>
          <t>Cobro anticipo 5/6 inscripción Günther Márquez</t>
        </is>
      </c>
      <c r="E165" t="inlineStr" s="0">
        <is>
          <t>4101 - Inscripciones</t>
        </is>
      </c>
      <c r="F165" t="str" s="0">
        <f>IF(E165="","",IFERROR(VLOOKUP(E165,Config!$F$2:$G$60,2,FALSE),"Gasto"))</f>
        <v>Ingreso</v>
      </c>
      <c r="G165" s="2">
        <v>1716.33</v>
      </c>
      <c r="H165" s="2">
        <f>IF(G165="","",IF(IFERROR(VLOOKUP(E165,Config!$F$2:$H$60,3,FALSE),"Exento")="Afecto",ROUND(G165-(G165/1.12),2),0))</f>
        <v>0.0</v>
      </c>
      <c r="I165" s="2">
        <f>IF(G165="","",ROUND(G165-H165,2))</f>
        <v>1716.33</v>
      </c>
      <c r="J165" t="inlineStr" s="0">
        <is>
          <t>BI- Monetaria</t>
        </is>
      </c>
      <c r="K165" s="3">
        <f>IF(G165="","",ROUND(K164+IF(J165="BI-Ahorro",0,IF(F165="Gasto",-G165,G165)),2))</f>
        <v>65177.9</v>
      </c>
      <c r="L165" s="2">
        <f>IF(G165="","",ROUND(L164+IF(LEFT(E165,4)="2102",G165,IF(J165="BI-Ahorro",-G165,0)),2))</f>
        <v>44242.49</v>
      </c>
      <c r="M165" t="inlineStr" s="0">
        <is>
          <t>BI-158655-B</t>
        </is>
      </c>
      <c r="N165" t="inlineStr" s="0">
        <is>
          <t>01-Pre-Primaria / 02-Primaria</t>
        </is>
      </c>
      <c r="O165" t="inlineStr" s="0">
        <is>
          <t>Ajustado de Q1,716.66 a Q1,716.33 para cuadrar exacto con ACH BI-158655 (Q2,758.33)</t>
        </is>
      </c>
    </row>
    <row r="166">
      <c r="A166" t="inlineStr" s="0">
        <is>
          <t>ALT-26-165</t>
        </is>
      </c>
      <c r="B166" t="inlineStr" s="0">
        <is>
          <t>2026-06-02</t>
        </is>
      </c>
      <c r="C166" t="inlineStr" s="0">
        <is>
          <t>junio</t>
        </is>
      </c>
      <c r="D166" t="inlineStr" s="0">
        <is>
          <t>Cobro mensualidad junio Adriana García</t>
        </is>
      </c>
      <c r="E166" t="inlineStr" s="0">
        <is>
          <t>4102 - Colegiaturas Mensuales</t>
        </is>
      </c>
      <c r="F166" t="str" s="0">
        <f>IF(E166="","",IFERROR(VLOOKUP(E166,Config!$F$2:$G$60,2,FALSE),"Gasto"))</f>
        <v>Ingreso</v>
      </c>
      <c r="G166" s="2">
        <v>9300.0</v>
      </c>
      <c r="H166" s="2">
        <f>IF(G166="","",IF(IFERROR(VLOOKUP(E166,Config!$F$2:$H$60,3,FALSE),"Exento")="Afecto",ROUND(G166-(G166/1.12),2),0))</f>
        <v>0.0</v>
      </c>
      <c r="I166" s="2">
        <f>IF(G166="","",ROUND(G166-H166,2))</f>
        <v>9300.0</v>
      </c>
      <c r="J166" t="inlineStr" s="0">
        <is>
          <t>BI- Monetaria</t>
        </is>
      </c>
      <c r="K166" s="3">
        <f>IF(G166="","",ROUND(K165+IF(J166="BI-Ahorro",0,IF(F166="Gasto",-G166,G166)),2))</f>
        <v>74477.9</v>
      </c>
      <c r="L166" s="2">
        <f>IF(G166="","",ROUND(L165+IF(LEFT(E166,4)="2102",G166,IF(J166="BI-Ahorro",-G166,0)),2))</f>
        <v>44242.49</v>
      </c>
      <c r="M166" t="inlineStr" s="0">
        <is>
          <t>BI-2156954</t>
        </is>
      </c>
      <c r="N166" t="inlineStr" s="0">
        <is>
          <t>01-Pre-Primaria / 02-Primaria</t>
        </is>
      </c>
      <c r="O166" t="inlineStr" s="0">
        <is>
          <t>Conciliado con extracto BI 02/06/2026</t>
        </is>
      </c>
    </row>
    <row r="167">
      <c r="A167" t="inlineStr" s="0">
        <is>
          <t>ALT-26-166</t>
        </is>
      </c>
      <c r="B167" t="inlineStr" s="0">
        <is>
          <t>2026-06-02</t>
        </is>
      </c>
      <c r="C167" t="inlineStr" s="0">
        <is>
          <t>junio</t>
        </is>
      </c>
      <c r="D167" t="inlineStr" s="0">
        <is>
          <t>Cobro mensualidad junio Gabriel Ruíz</t>
        </is>
      </c>
      <c r="E167" t="inlineStr" s="0">
        <is>
          <t>4102 - Colegiaturas Mensuales</t>
        </is>
      </c>
      <c r="F167" t="str" s="0">
        <f>IF(E167="","",IFERROR(VLOOKUP(E167,Config!$F$2:$G$60,2,FALSE),"Gasto"))</f>
        <v>Ingreso</v>
      </c>
      <c r="G167" s="2">
        <v>9300.0</v>
      </c>
      <c r="H167" s="2">
        <f>IF(G167="","",IF(IFERROR(VLOOKUP(E167,Config!$F$2:$H$60,3,FALSE),"Exento")="Afecto",ROUND(G167-(G167/1.12),2),0))</f>
        <v>0.0</v>
      </c>
      <c r="I167" s="2">
        <f>IF(G167="","",ROUND(G167-H167,2))</f>
        <v>9300.0</v>
      </c>
      <c r="J167" t="inlineStr" s="0">
        <is>
          <t>BI- Monetaria</t>
        </is>
      </c>
      <c r="K167" s="3">
        <f>IF(G167="","",ROUND(K166+IF(J167="BI-Ahorro",0,IF(F167="Gasto",-G167,G167)),2))</f>
        <v>83777.9</v>
      </c>
      <c r="L167" s="2">
        <f>IF(G167="","",ROUND(L166+IF(LEFT(E167,4)="2102",G167,IF(J167="BI-Ahorro",-G167,0)),2))</f>
        <v>44242.49</v>
      </c>
      <c r="M167" t="inlineStr" s="0">
        <is>
          <t>BI-2206079</t>
        </is>
      </c>
      <c r="N167" t="inlineStr" s="0">
        <is>
          <t>01-Pre-Primaria / 02-Primaria</t>
        </is>
      </c>
      <c r="O167" t="inlineStr" s="0">
        <is>
          <t>Conciliado con extracto BI 02/06/2026</t>
        </is>
      </c>
    </row>
    <row r="168">
      <c r="A168" t="inlineStr" s="0">
        <is>
          <t>ALT-26-167</t>
        </is>
      </c>
      <c r="B168" t="inlineStr" s="0">
        <is>
          <t>2026-06-03</t>
        </is>
      </c>
      <c r="C168" t="inlineStr" s="0">
        <is>
          <t>junio</t>
        </is>
      </c>
      <c r="D168" t="inlineStr" s="0">
        <is>
          <t>Google Workspace_altus US</t>
        </is>
      </c>
      <c r="E168" t="inlineStr" s="0">
        <is>
          <t>5212 - Telecomunicaciones e internet</t>
        </is>
      </c>
      <c r="F168" t="str" s="0">
        <f>IF(E168="","",IFERROR(VLOOKUP(E168,Config!$F$2:$G$60,2,FALSE),"Gasto"))</f>
        <v>Gasto</v>
      </c>
      <c r="G168" s="2">
        <v>234.66</v>
      </c>
      <c r="H168" s="2">
        <f>IF(G168="","",IF(IFERROR(VLOOKUP(E168,Config!$F$2:$H$60,3,FALSE),"Exento")="Afecto",ROUND(G168-(G168/1.12),2),0))</f>
        <v>25.14</v>
      </c>
      <c r="I168" s="2">
        <f>IF(G168="","",ROUND(G168-H168,2))</f>
        <v>209.52</v>
      </c>
      <c r="J168" t="inlineStr" s="0">
        <is>
          <t>BI- Monetaria</t>
        </is>
      </c>
      <c r="K168" s="3">
        <f>IF(G168="","",ROUND(K167+IF(J168="BI-Ahorro",0,IF(F168="Gasto",-G168,G168)),2))</f>
        <v>83543.24</v>
      </c>
      <c r="L168" s="2">
        <f>IF(G168="","",ROUND(L167+IF(LEFT(E168,4)="2102",G168,IF(J168="BI-Ahorro",-G168,0)),2))</f>
        <v>44242.49</v>
      </c>
      <c r="M168" t="inlineStr" s="0">
        <is>
          <t>BI-104119</t>
        </is>
      </c>
      <c r="N168" t="inlineStr" s="0">
        <is>
          <t>00-Administración</t>
        </is>
      </c>
      <c r="O168" t="inlineStr" s="0">
        <is>
          <t>Conciliado con extracto BI 03/06/2026</t>
        </is>
      </c>
    </row>
    <row r="169">
      <c r="A169" t="inlineStr" s="0">
        <is>
          <t>ALT-26-168</t>
        </is>
      </c>
      <c r="B169" t="inlineStr" s="0">
        <is>
          <t>2026-06-04</t>
        </is>
      </c>
      <c r="C169" t="inlineStr" s="0">
        <is>
          <t>junio</t>
        </is>
      </c>
      <c r="D169" t="inlineStr" s="0">
        <is>
          <t>Cobro mensualidad junio Giulia Fiorini</t>
        </is>
      </c>
      <c r="E169" t="inlineStr" s="0">
        <is>
          <t>4102 - Colegiaturas Mensuales</t>
        </is>
      </c>
      <c r="F169" t="str" s="0">
        <f>IF(E169="","",IFERROR(VLOOKUP(E169,Config!$F$2:$G$60,2,FALSE),"Gasto"))</f>
        <v>Ingreso</v>
      </c>
      <c r="G169" s="2">
        <v>1850.0</v>
      </c>
      <c r="H169" s="2">
        <f>IF(G169="","",IF(IFERROR(VLOOKUP(E169,Config!$F$2:$H$60,3,FALSE),"Exento")="Afecto",ROUND(G169-(G169/1.12),2),0))</f>
        <v>0.0</v>
      </c>
      <c r="I169" s="2">
        <f>IF(G169="","",ROUND(G169-H169,2))</f>
        <v>1850.0</v>
      </c>
      <c r="J169" t="inlineStr" s="0">
        <is>
          <t>BI- Monetaria</t>
        </is>
      </c>
      <c r="K169" s="3">
        <f>IF(G169="","",ROUND(K168+IF(J169="BI-Ahorro",0,IF(F169="Gasto",-G169,G169)),2))</f>
        <v>85393.24</v>
      </c>
      <c r="L169" s="2">
        <f>IF(G169="","",ROUND(L168+IF(LEFT(E169,4)="2102",G169,IF(J169="BI-Ahorro",-G169,0)),2))</f>
        <v>44242.49</v>
      </c>
      <c r="M169" t="inlineStr" s="0">
        <is>
          <t>BI-217487-A</t>
        </is>
      </c>
      <c r="N169" t="inlineStr" s="0">
        <is>
          <t>01-Pre-Primaria / 02-Primaria</t>
        </is>
      </c>
      <c r="O169" t="inlineStr" s="0">
        <is>
          <t>Parte de ACH Dilson Gerardo Fiori Q2,158.68</t>
        </is>
      </c>
    </row>
    <row r="170">
      <c r="A170" t="inlineStr" s="0">
        <is>
          <t>ALT-26-169</t>
        </is>
      </c>
      <c r="B170" t="inlineStr" s="0">
        <is>
          <t>2026-06-04</t>
        </is>
      </c>
      <c r="C170" t="inlineStr" s="0">
        <is>
          <t>junio</t>
        </is>
      </c>
      <c r="D170" t="inlineStr" s="0">
        <is>
          <t>Cobro anticipo 3/6 inscripción Giulia Fiorini 2026</t>
        </is>
      </c>
      <c r="E170" t="inlineStr" s="0">
        <is>
          <t>4101 - Inscripciones</t>
        </is>
      </c>
      <c r="F170" t="str" s="0">
        <f>IF(E170="","",IFERROR(VLOOKUP(E170,Config!$F$2:$G$60,2,FALSE),"Gasto"))</f>
        <v>Ingreso</v>
      </c>
      <c r="G170" s="2">
        <v>308.68</v>
      </c>
      <c r="H170" s="2">
        <f>IF(G170="","",IF(IFERROR(VLOOKUP(E170,Config!$F$2:$H$60,3,FALSE),"Exento")="Afecto",ROUND(G170-(G170/1.12),2),0))</f>
        <v>0.0</v>
      </c>
      <c r="I170" s="2">
        <f>IF(G170="","",ROUND(G170-H170,2))</f>
        <v>308.68</v>
      </c>
      <c r="J170" t="inlineStr" s="0">
        <is>
          <t>BI- Monetaria</t>
        </is>
      </c>
      <c r="K170" s="3">
        <f>IF(G170="","",ROUND(K169+IF(J170="BI-Ahorro",0,IF(F170="Gasto",-G170,G170)),2))</f>
        <v>85701.92</v>
      </c>
      <c r="L170" s="2">
        <f>IF(G170="","",ROUND(L169+IF(LEFT(E170,4)="2102",G170,IF(J170="BI-Ahorro",-G170,0)),2))</f>
        <v>44242.49</v>
      </c>
      <c r="M170" t="inlineStr" s="0">
        <is>
          <t>BI-217487-B</t>
        </is>
      </c>
      <c r="N170" t="inlineStr" s="0">
        <is>
          <t>01-Pre-Primaria / 02-Primaria</t>
        </is>
      </c>
      <c r="O170" t="inlineStr" s="0">
        <is>
          <t>Parte de ACH Dilson Gerardo Fiori Q2,158.68</t>
        </is>
      </c>
    </row>
    <row r="171">
      <c r="A171" t="inlineStr" s="0">
        <is>
          <t>ALT-26-170</t>
        </is>
      </c>
      <c r="B171" t="inlineStr" s="0">
        <is>
          <t>2026-06-05</t>
        </is>
      </c>
      <c r="C171" t="inlineStr" s="0">
        <is>
          <t>junio</t>
        </is>
      </c>
      <c r="D171" t="inlineStr" s="0">
        <is>
          <t>Cobro mensualidad junio Mateo Toribio</t>
        </is>
      </c>
      <c r="E171" t="inlineStr" s="0">
        <is>
          <t>4102 - Colegiaturas Mensuales</t>
        </is>
      </c>
      <c r="F171" t="str" s="0">
        <f>IF(E171="","",IFERROR(VLOOKUP(E171,Config!$F$2:$G$60,2,FALSE),"Gasto"))</f>
        <v>Ingreso</v>
      </c>
      <c r="G171" s="2">
        <v>9300.0</v>
      </c>
      <c r="H171" s="2">
        <f>IF(G171="","",IF(IFERROR(VLOOKUP(E171,Config!$F$2:$H$60,3,FALSE),"Exento")="Afecto",ROUND(G171-(G171/1.12),2),0))</f>
        <v>0.0</v>
      </c>
      <c r="I171" s="2">
        <f>IF(G171="","",ROUND(G171-H171,2))</f>
        <v>9300.0</v>
      </c>
      <c r="J171" t="inlineStr" s="0">
        <is>
          <t>BI- Monetaria</t>
        </is>
      </c>
      <c r="K171" s="3">
        <f>IF(G171="","",ROUND(K170+IF(J171="BI-Ahorro",0,IF(F171="Gasto",-G171,G171)),2))</f>
        <v>95001.92</v>
      </c>
      <c r="L171" s="2">
        <f>IF(G171="","",ROUND(L170+IF(LEFT(E171,4)="2102",G171,IF(J171="BI-Ahorro",-G171,0)),2))</f>
        <v>44242.49</v>
      </c>
      <c r="M171" t="inlineStr" s="0">
        <is>
          <t>BI-5111079</t>
        </is>
      </c>
      <c r="N171" t="inlineStr" s="0">
        <is>
          <t>01-Pre-Primaria / 02-Primaria</t>
        </is>
      </c>
      <c r="O171" t="inlineStr" s="0">
        <is>
          <t>Conciliado con extracto BI 05/06/2026</t>
        </is>
      </c>
    </row>
    <row r="172">
      <c r="A172" t="inlineStr" s="0">
        <is>
          <t>ALT-26-171</t>
        </is>
      </c>
      <c r="B172" t="inlineStr" s="0">
        <is>
          <t>2026-06-05</t>
        </is>
      </c>
      <c r="C172" t="inlineStr" s="0">
        <is>
          <t>junio</t>
        </is>
      </c>
      <c r="D172" t="inlineStr" s="0">
        <is>
          <t>Cobro mensualidad junio Luís Felipe Guzmán (Pamela Sosa)</t>
        </is>
      </c>
      <c r="E172" t="inlineStr" s="0">
        <is>
          <t>4102 - Colegiaturas Mensuales</t>
        </is>
      </c>
      <c r="F172" t="str" s="0">
        <f>IF(E172="","",IFERROR(VLOOKUP(E172,Config!$F$2:$G$60,2,FALSE),"Gasto"))</f>
        <v>Ingreso</v>
      </c>
      <c r="G172" s="2">
        <v>9300.0</v>
      </c>
      <c r="H172" s="2">
        <f>IF(G172="","",IF(IFERROR(VLOOKUP(E172,Config!$F$2:$H$60,3,FALSE),"Exento")="Afecto",ROUND(G172-(G172/1.12),2),0))</f>
        <v>0.0</v>
      </c>
      <c r="I172" s="2">
        <f>IF(G172="","",ROUND(G172-H172,2))</f>
        <v>9300.0</v>
      </c>
      <c r="J172" t="inlineStr" s="0">
        <is>
          <t>BI- Monetaria</t>
        </is>
      </c>
      <c r="K172" s="3">
        <f>IF(G172="","",ROUND(K171+IF(J172="BI-Ahorro",0,IF(F172="Gasto",-G172,G172)),2))</f>
        <v>104301.92</v>
      </c>
      <c r="L172" s="2">
        <f>IF(G172="","",ROUND(L171+IF(LEFT(E172,4)="2102",G172,IF(J172="BI-Ahorro",-G172,0)),2))</f>
        <v>44242.49</v>
      </c>
      <c r="M172" t="inlineStr" s="0">
        <is>
          <t>BI-5187709</t>
        </is>
      </c>
      <c r="N172" t="inlineStr" s="0">
        <is>
          <t>01-Pre-Primaria / 02-Primaria</t>
        </is>
      </c>
      <c r="O172" t="inlineStr" s="0">
        <is>
          <t>Conciliado con extracto BI 05/06/2026</t>
        </is>
      </c>
    </row>
    <row r="173">
      <c r="A173" t="inlineStr" s="0">
        <is>
          <t>ALT-26-172</t>
        </is>
      </c>
      <c r="B173" t="inlineStr" s="0">
        <is>
          <t>2026-06-18</t>
        </is>
      </c>
      <c r="C173" t="inlineStr" s="0">
        <is>
          <t>junio</t>
        </is>
      </c>
      <c r="D173" t="inlineStr" s="0">
        <is>
          <t>Cobro mensualidad junio Rodrigo Gallinsa</t>
        </is>
      </c>
      <c r="E173" t="inlineStr" s="0">
        <is>
          <t>4102 - Colegiaturas Mensuales</t>
        </is>
      </c>
      <c r="F173" t="str" s="0">
        <f>IF(E173="","",IFERROR(VLOOKUP(E173,Config!$F$2:$G$60,2,FALSE),"Gasto"))</f>
        <v>Ingreso</v>
      </c>
      <c r="G173" s="2">
        <v>6300.0</v>
      </c>
      <c r="H173" s="2">
        <f>IF(G173="","",IF(IFERROR(VLOOKUP(E173,Config!$F$2:$H$60,3,FALSE),"Exento")="Afecto",ROUND(G173-(G173/1.12),2),0))</f>
        <v>0.0</v>
      </c>
      <c r="I173" s="2">
        <f>IF(G173="","",ROUND(G173-H173,2))</f>
        <v>6300.0</v>
      </c>
      <c r="J173" t="inlineStr" s="0">
        <is>
          <t>BI- Monetaria</t>
        </is>
      </c>
      <c r="K173" s="3">
        <f>IF(G173="","",ROUND(K172+IF(J173="BI-Ahorro",0,IF(F173="Gasto",-G173,G173)),2))</f>
        <v>110601.92</v>
      </c>
      <c r="L173" s="2">
        <f>IF(G173="","",ROUND(L172+IF(LEFT(E173,4)="2102",G173,IF(J173="BI-Ahorro",-G173,0)),2))</f>
        <v>44242.49</v>
      </c>
      <c r="M173" t="inlineStr" s="0">
        <is>
          <t>BI-18142150</t>
        </is>
      </c>
      <c r="N173" t="inlineStr" s="0">
        <is>
          <t>01-Pre-Primaria / 02-Primaria</t>
        </is>
      </c>
      <c r="O173" t="inlineStr" s="0">
        <is>
          <t>Conciliado con extracto BI 18/06/2026</t>
        </is>
      </c>
    </row>
    <row r="174">
      <c r="A174" t="inlineStr" s="0">
        <is>
          <t>ALT-26-173</t>
        </is>
      </c>
      <c r="B174" t="inlineStr" s="0">
        <is>
          <t>2026-06-18</t>
        </is>
      </c>
      <c r="C174" t="inlineStr" s="0">
        <is>
          <t>junio</t>
        </is>
      </c>
      <c r="D174" t="inlineStr" s="0">
        <is>
          <t>Anticipo 3/6 inscripción 2026 Rodrigo Gallinsa</t>
        </is>
      </c>
      <c r="E174" t="inlineStr" s="0">
        <is>
          <t>4101 - Inscripciones</t>
        </is>
      </c>
      <c r="F174" t="str" s="0">
        <f>IF(E174="","",IFERROR(VLOOKUP(E174,Config!$F$2:$G$60,2,FALSE),"Gasto"))</f>
        <v>Ingreso</v>
      </c>
      <c r="G174" s="2">
        <v>1287.5</v>
      </c>
      <c r="H174" s="2">
        <f>IF(G174="","",IF(IFERROR(VLOOKUP(E174,Config!$F$2:$H$60,3,FALSE),"Exento")="Afecto",ROUND(G174-(G174/1.12),2),0))</f>
        <v>0.0</v>
      </c>
      <c r="I174" s="2">
        <f>IF(G174="","",ROUND(G174-H174,2))</f>
        <v>1287.5</v>
      </c>
      <c r="J174" t="inlineStr" s="0">
        <is>
          <t>BI- Monetaria</t>
        </is>
      </c>
      <c r="K174" s="3">
        <f>IF(G174="","",ROUND(K173+IF(J174="BI-Ahorro",0,IF(F174="Gasto",-G174,G174)),2))</f>
        <v>111889.42</v>
      </c>
      <c r="L174" s="2">
        <f>IF(G174="","",ROUND(L173+IF(LEFT(E174,4)="2102",G174,IF(J174="BI-Ahorro",-G174,0)),2))</f>
        <v>44242.49</v>
      </c>
      <c r="M174" t="inlineStr" s="0">
        <is>
          <t>BI-18177865</t>
        </is>
      </c>
      <c r="N174" t="inlineStr" s="0">
        <is>
          <t>01-Pre-Primaria / 02-Primaria</t>
        </is>
      </c>
      <c r="O174" t="inlineStr" s="0">
        <is>
          <t>Conciliado con extracto BI 18/06/2026</t>
        </is>
      </c>
    </row>
    <row r="175">
      <c r="A175" t="inlineStr" s="0">
        <is>
          <t>ALT-26-174</t>
        </is>
      </c>
      <c r="B175" t="inlineStr" s="0">
        <is>
          <t>2026-06-25</t>
        </is>
      </c>
      <c r="C175" t="inlineStr" s="0">
        <is>
          <t>junio</t>
        </is>
      </c>
      <c r="D175" t="inlineStr" s="0">
        <is>
          <t>Pago documentos MINEDUC abogado Samuel Sosa</t>
        </is>
      </c>
      <c r="E175" t="inlineStr" s="0">
        <is>
          <t>5209 - Honorarios profesionales</t>
        </is>
      </c>
      <c r="F175" t="str" s="0">
        <f>IF(E175="","",IFERROR(VLOOKUP(E175,Config!$F$2:$G$60,2,FALSE),"Gasto"))</f>
        <v>Gasto</v>
      </c>
      <c r="G175" s="2">
        <v>250.0</v>
      </c>
      <c r="H175" s="2">
        <f>IF(G175="","",IF(IFERROR(VLOOKUP(E175,Config!$F$2:$H$60,3,FALSE),"Exento")="Afecto",ROUND(G175-(G175/1.12),2),0))</f>
        <v>26.79</v>
      </c>
      <c r="I175" s="2">
        <f>IF(G175="","",ROUND(G175-H175,2))</f>
        <v>223.21</v>
      </c>
      <c r="J175" t="inlineStr" s="0">
        <is>
          <t>BI- Monetaria</t>
        </is>
      </c>
      <c r="K175" s="3">
        <f>IF(G175="","",ROUND(K174+IF(J175="BI-Ahorro",0,IF(F175="Gasto",-G175,G175)),2))</f>
        <v>111639.42</v>
      </c>
      <c r="L175" s="2">
        <f>IF(G175="","",ROUND(L174+IF(LEFT(E175,4)="2102",G175,IF(J175="BI-Ahorro",-G175,0)),2))</f>
        <v>44242.49</v>
      </c>
      <c r="M175" t="inlineStr" s="0">
        <is>
          <t>BI-25243854</t>
        </is>
      </c>
      <c r="N175" t="inlineStr" s="0">
        <is>
          <t>00-Administración</t>
        </is>
      </c>
      <c r="O175" t="inlineStr" s="0">
        <is>
          <t>Conciliado con extracto BI 25/06/2026 (Nota: Se eliminó duplicado de Q895 Regalo Maestras que corresponde al 10/07/2026)</t>
        </is>
      </c>
    </row>
    <row r="176">
      <c r="A176" t="inlineStr" s="0">
        <is>
          <t>ALT-26-175</t>
        </is>
      </c>
      <c r="B176" t="inlineStr" s="0">
        <is>
          <t>2026-06-26</t>
        </is>
      </c>
      <c r="C176" t="inlineStr" s="0">
        <is>
          <t>junio</t>
        </is>
      </c>
      <c r="D176" t="inlineStr" s="0">
        <is>
          <t>Pago compras actividad Día del Padre Altus (Adri)</t>
        </is>
      </c>
      <c r="E176" t="inlineStr" s="0">
        <is>
          <t>5205 - Actividades y excursiones</t>
        </is>
      </c>
      <c r="F176" t="str" s="0">
        <f>IF(E176="","",IFERROR(VLOOKUP(E176,Config!$F$2:$G$60,2,FALSE),"Gasto"))</f>
        <v>Gasto</v>
      </c>
      <c r="G176" s="2">
        <v>1210.0</v>
      </c>
      <c r="H176" s="2">
        <f>IF(G176="","",IF(IFERROR(VLOOKUP(E176,Config!$F$2:$H$60,3,FALSE),"Exento")="Afecto",ROUND(G176-(G176/1.12),2),0))</f>
        <v>129.64</v>
      </c>
      <c r="I176" s="2">
        <f>IF(G176="","",ROUND(G176-H176,2))</f>
        <v>1080.36</v>
      </c>
      <c r="J176" t="inlineStr" s="0">
        <is>
          <t>BI- Monetaria</t>
        </is>
      </c>
      <c r="K176" s="3">
        <f>IF(G176="","",ROUND(K175+IF(J176="BI-Ahorro",0,IF(F176="Gasto",-G176,G176)),2))</f>
        <v>110429.42</v>
      </c>
      <c r="L176" s="2">
        <f>IF(G176="","",ROUND(L175+IF(LEFT(E176,4)="2102",G176,IF(J176="BI-Ahorro",-G176,0)),2))</f>
        <v>44242.49</v>
      </c>
      <c r="M176" t="inlineStr" s="0">
        <is>
          <t>BI-178967</t>
        </is>
      </c>
      <c r="N176" t="inlineStr" s="0">
        <is>
          <t>00-Administración</t>
        </is>
      </c>
      <c r="O176" t="inlineStr" s="0">
        <is>
          <t>Separado según extracto BI 26/06/2026 (Docto 178967)</t>
        </is>
      </c>
    </row>
    <row r="177">
      <c r="A177" t="inlineStr" s="0">
        <is>
          <t>ALT-26-176</t>
        </is>
      </c>
      <c r="B177" t="inlineStr" s="0">
        <is>
          <t>2026-06-26</t>
        </is>
      </c>
      <c r="C177" t="inlineStr" s="0">
        <is>
          <t>junio</t>
        </is>
      </c>
      <c r="D177" t="inlineStr" s="0">
        <is>
          <t>Pago Bono 14 AJ (Desde cuenta operativa)</t>
        </is>
      </c>
      <c r="E177" t="inlineStr" s="0">
        <is>
          <t>5104 - Bono 14</t>
        </is>
      </c>
      <c r="F177" t="str" s="0">
        <f>IF(E177="","",IFERROR(VLOOKUP(E177,Config!$F$2:$G$60,2,FALSE),"Gasto"))</f>
        <v>Gasto</v>
      </c>
      <c r="G177" s="2">
        <v>2000.0</v>
      </c>
      <c r="H177" s="2">
        <f>IF(G177="","",IF(IFERROR(VLOOKUP(E177,Config!$F$2:$H$60,3,FALSE),"Exento")="Afecto",ROUND(G177-(G177/1.12),2),0))</f>
        <v>0.0</v>
      </c>
      <c r="I177" s="2">
        <f>IF(G177="","",ROUND(G177-H177,2))</f>
        <v>2000.0</v>
      </c>
      <c r="J177" t="inlineStr" s="0">
        <is>
          <t>BI- Monetaria</t>
        </is>
      </c>
      <c r="K177" s="3">
        <f>IF(G177="","",ROUND(K176+IF(J177="BI-Ahorro",0,IF(F177="Gasto",-G177,G177)),2))</f>
        <v>108429.42</v>
      </c>
      <c r="L177" s="2">
        <f>IF(G177="","",ROUND(L176+IF(LEFT(E177,4)="2102",G177,IF(J177="BI-Ahorro",-G177,0)),2))</f>
        <v>44242.49</v>
      </c>
      <c r="M177" t="inlineStr" s="0">
        <is>
          <t>BI-200685</t>
        </is>
      </c>
      <c r="N177" t="inlineStr" s="0">
        <is>
          <t>00-Administración</t>
        </is>
      </c>
      <c r="O177" t="inlineStr" s="0">
        <is>
          <t>Separado según extracto BI 26/06/2026 (Docto 200685: 5104 bono 14 AJ)</t>
        </is>
      </c>
    </row>
    <row r="178">
      <c r="A178" t="inlineStr" s="0">
        <is>
          <t>ALT-26-177</t>
        </is>
      </c>
      <c r="B178" t="inlineStr" s="0">
        <is>
          <t>2026-06-26</t>
        </is>
      </c>
      <c r="C178" t="inlineStr" s="0">
        <is>
          <t>junio</t>
        </is>
      </c>
      <c r="D178" t="inlineStr" s="0">
        <is>
          <t>Pago sueldo junio Geovanna Velázquez</t>
        </is>
      </c>
      <c r="E178" t="inlineStr" s="0">
        <is>
          <t>5101 - Sueldos y Salarios</t>
        </is>
      </c>
      <c r="F178" t="str" s="0">
        <f>IF(E178="","",IFERROR(VLOOKUP(E178,Config!$F$2:$G$60,2,FALSE),"Gasto"))</f>
        <v>Gasto</v>
      </c>
      <c r="G178" s="2">
        <v>4237.78</v>
      </c>
      <c r="H178" s="2">
        <f>IF(G178="","",IF(IFERROR(VLOOKUP(E178,Config!$F$2:$H$60,3,FALSE),"Exento")="Afecto",ROUND(G178-(G178/1.12),2),0))</f>
        <v>0.0</v>
      </c>
      <c r="I178" s="2">
        <f>IF(G178="","",ROUND(G178-H178,2))</f>
        <v>4237.78</v>
      </c>
      <c r="J178" t="inlineStr" s="0">
        <is>
          <t>BI- Monetaria</t>
        </is>
      </c>
      <c r="K178" s="3">
        <f>IF(G178="","",ROUND(K177+IF(J178="BI-Ahorro",0,IF(F178="Gasto",-G178,G178)),2))</f>
        <v>104191.64</v>
      </c>
      <c r="L178" s="2">
        <f>IF(G178="","",ROUND(L177+IF(LEFT(E178,4)="2102",G178,IF(J178="BI-Ahorro",-G178,0)),2))</f>
        <v>44242.49</v>
      </c>
      <c r="M178" t="inlineStr" s="0">
        <is>
          <t>BI-118012</t>
        </is>
      </c>
      <c r="N178" t="inlineStr" s="0">
        <is>
          <t>00-Administración</t>
        </is>
      </c>
      <c r="O178" t="inlineStr" s="0">
        <is>
          <t>Conciliado con extracto BI 26/06/2026</t>
        </is>
      </c>
    </row>
    <row r="179">
      <c r="A179" t="inlineStr" s="0">
        <is>
          <t>ALT-26-178</t>
        </is>
      </c>
      <c r="B179" t="inlineStr" s="0">
        <is>
          <t>2026-06-26</t>
        </is>
      </c>
      <c r="C179" t="inlineStr" s="0">
        <is>
          <t>junio</t>
        </is>
      </c>
      <c r="D179" t="inlineStr" s="0">
        <is>
          <t>Pago sueldo junio Melissa Peña</t>
        </is>
      </c>
      <c r="E179" t="inlineStr" s="0">
        <is>
          <t>5101 - Sueldos y Salarios</t>
        </is>
      </c>
      <c r="F179" t="str" s="0">
        <f>IF(E179="","",IFERROR(VLOOKUP(E179,Config!$F$2:$G$60,2,FALSE),"Gasto"))</f>
        <v>Gasto</v>
      </c>
      <c r="G179" s="2">
        <v>4234.78</v>
      </c>
      <c r="H179" s="2">
        <f>IF(G179="","",IF(IFERROR(VLOOKUP(E179,Config!$F$2:$H$60,3,FALSE),"Exento")="Afecto",ROUND(G179-(G179/1.12),2),0))</f>
        <v>0.0</v>
      </c>
      <c r="I179" s="2">
        <f>IF(G179="","",ROUND(G179-H179,2))</f>
        <v>4234.78</v>
      </c>
      <c r="J179" t="inlineStr" s="0">
        <is>
          <t>BI- Monetaria</t>
        </is>
      </c>
      <c r="K179" s="3">
        <f>IF(G179="","",ROUND(K178+IF(J179="BI-Ahorro",0,IF(F179="Gasto",-G179,G179)),2))</f>
        <v>99956.86</v>
      </c>
      <c r="L179" s="2">
        <f>IF(G179="","",ROUND(L178+IF(LEFT(E179,4)="2102",G179,IF(J179="BI-Ahorro",-G179,0)),2))</f>
        <v>44242.49</v>
      </c>
      <c r="M179" t="inlineStr" s="0">
        <is>
          <t>BI-138311</t>
        </is>
      </c>
      <c r="N179" t="inlineStr" s="0">
        <is>
          <t>00-Administración</t>
        </is>
      </c>
      <c r="O179" t="inlineStr" s="0">
        <is>
          <t>Conciliado con extracto BI 26/06/2026</t>
        </is>
      </c>
    </row>
    <row r="180">
      <c r="A180" t="inlineStr" s="0">
        <is>
          <t>ALT-26-179</t>
        </is>
      </c>
      <c r="B180" t="inlineStr" s="0">
        <is>
          <t>2026-06-26</t>
        </is>
      </c>
      <c r="C180" t="inlineStr" s="0">
        <is>
          <t>junio</t>
        </is>
      </c>
      <c r="D180" t="inlineStr" s="0">
        <is>
          <t>Pago publicidad RRSS Raúl</t>
        </is>
      </c>
      <c r="E180" t="inlineStr" s="0">
        <is>
          <t>5204 - Marketing y Publicidad</t>
        </is>
      </c>
      <c r="F180" t="str" s="0">
        <f>IF(E180="","",IFERROR(VLOOKUP(E180,Config!$F$2:$G$60,2,FALSE),"Gasto"))</f>
        <v>Gasto</v>
      </c>
      <c r="G180" s="2">
        <v>500.0</v>
      </c>
      <c r="H180" s="2">
        <f>IF(G180="","",IF(IFERROR(VLOOKUP(E180,Config!$F$2:$H$60,3,FALSE),"Exento")="Afecto",ROUND(G180-(G180/1.12),2),0))</f>
        <v>53.57</v>
      </c>
      <c r="I180" s="2">
        <f>IF(G180="","",ROUND(G180-H180,2))</f>
        <v>446.43</v>
      </c>
      <c r="J180" t="inlineStr" s="0">
        <is>
          <t>BI- Monetaria</t>
        </is>
      </c>
      <c r="K180" s="3">
        <f>IF(G180="","",ROUND(K179+IF(J180="BI-Ahorro",0,IF(F180="Gasto",-G180,G180)),2))</f>
        <v>99456.86</v>
      </c>
      <c r="L180" s="2">
        <f>IF(G180="","",ROUND(L179+IF(LEFT(E180,4)="2102",G180,IF(J180="BI-Ahorro",-G180,0)),2))</f>
        <v>44242.49</v>
      </c>
      <c r="M180" t="inlineStr" s="0">
        <is>
          <t>BI-138762</t>
        </is>
      </c>
      <c r="N180" t="inlineStr" s="0">
        <is>
          <t>00-Administración</t>
        </is>
      </c>
      <c r="O180" t="inlineStr" s="0">
        <is>
          <t>Conciliado con extracto BI 26/06/2026</t>
        </is>
      </c>
    </row>
    <row r="181">
      <c r="A181" t="inlineStr" s="0">
        <is>
          <t>ALT-26-180</t>
        </is>
      </c>
      <c r="B181" t="inlineStr" s="0">
        <is>
          <t>2026-06-26</t>
        </is>
      </c>
      <c r="C181" t="inlineStr" s="0">
        <is>
          <t>junio</t>
        </is>
      </c>
      <c r="D181" t="inlineStr" s="0">
        <is>
          <t>Donación Fundación Waybi junio</t>
        </is>
      </c>
      <c r="E181" t="inlineStr" s="0">
        <is>
          <t>5208 - Donaciones</t>
        </is>
      </c>
      <c r="F181" t="str" s="0">
        <f>IF(E181="","",IFERROR(VLOOKUP(E181,Config!$F$2:$G$60,2,FALSE),"Gasto"))</f>
        <v>Gasto</v>
      </c>
      <c r="G181" s="2">
        <v>1700.0</v>
      </c>
      <c r="H181" s="2">
        <f>IF(G181="","",IF(IFERROR(VLOOKUP(E181,Config!$F$2:$H$60,3,FALSE),"Exento")="Afecto",ROUND(G181-(G181/1.12),2),0))</f>
        <v>182.14</v>
      </c>
      <c r="I181" s="2">
        <f>IF(G181="","",ROUND(G181-H181,2))</f>
        <v>1517.86</v>
      </c>
      <c r="J181" t="inlineStr" s="0">
        <is>
          <t>BI- Monetaria</t>
        </is>
      </c>
      <c r="K181" s="3">
        <f>IF(G181="","",ROUND(K180+IF(J181="BI-Ahorro",0,IF(F181="Gasto",-G181,G181)),2))</f>
        <v>97756.86</v>
      </c>
      <c r="L181" s="2">
        <f>IF(G181="","",ROUND(L180+IF(LEFT(E181,4)="2102",G181,IF(J181="BI-Ahorro",-G181,0)),2))</f>
        <v>44242.49</v>
      </c>
      <c r="M181" t="inlineStr" s="0">
        <is>
          <t>BI-151470</t>
        </is>
      </c>
      <c r="N181" t="inlineStr" s="0">
        <is>
          <t>00-Administración</t>
        </is>
      </c>
      <c r="O181" t="inlineStr" s="0">
        <is>
          <t>Conciliado con extracto BI 26/06/2026</t>
        </is>
      </c>
    </row>
    <row r="182">
      <c r="A182" t="inlineStr" s="0">
        <is>
          <t>ALT-26-181</t>
        </is>
      </c>
      <c r="B182" t="inlineStr" s="0">
        <is>
          <t>2026-06-26</t>
        </is>
      </c>
      <c r="C182" t="inlineStr" s="0">
        <is>
          <t>junio</t>
        </is>
      </c>
      <c r="D182" t="inlineStr" s="0">
        <is>
          <t>Pago sueldo junio Jessica Gudiel</t>
        </is>
      </c>
      <c r="E182" t="inlineStr" s="0">
        <is>
          <t>5101 - Sueldos y Salarios</t>
        </is>
      </c>
      <c r="F182" t="str" s="0">
        <f>IF(E182="","",IFERROR(VLOOKUP(E182,Config!$F$2:$G$60,2,FALSE),"Gasto"))</f>
        <v>Gasto</v>
      </c>
      <c r="G182" s="2">
        <v>5862.19</v>
      </c>
      <c r="H182" s="2">
        <f>IF(G182="","",IF(IFERROR(VLOOKUP(E182,Config!$F$2:$H$60,3,FALSE),"Exento")="Afecto",ROUND(G182-(G182/1.12),2),0))</f>
        <v>0.0</v>
      </c>
      <c r="I182" s="2">
        <f>IF(G182="","",ROUND(G182-H182,2))</f>
        <v>5862.19</v>
      </c>
      <c r="J182" t="inlineStr" s="0">
        <is>
          <t>BI- Monetaria</t>
        </is>
      </c>
      <c r="K182" s="3">
        <f>IF(G182="","",ROUND(K181+IF(J182="BI-Ahorro",0,IF(F182="Gasto",-G182,G182)),2))</f>
        <v>91894.67</v>
      </c>
      <c r="L182" s="2">
        <f>IF(G182="","",ROUND(L181+IF(LEFT(E182,4)="2102",G182,IF(J182="BI-Ahorro",-G182,0)),2))</f>
        <v>44242.49</v>
      </c>
      <c r="M182" t="inlineStr" s="0">
        <is>
          <t>BI-176604</t>
        </is>
      </c>
      <c r="N182" t="inlineStr" s="0">
        <is>
          <t>00-Administración</t>
        </is>
      </c>
      <c r="O182" t="inlineStr" s="0">
        <is>
          <t>Conciliado con extracto BI 26/06/2026</t>
        </is>
      </c>
    </row>
    <row r="183">
      <c r="A183" t="inlineStr" s="0">
        <is>
          <t>ALT-26-182</t>
        </is>
      </c>
      <c r="B183" t="inlineStr" s="0">
        <is>
          <t>2026-06-26</t>
        </is>
      </c>
      <c r="C183" t="inlineStr" s="0">
        <is>
          <t>junio</t>
        </is>
      </c>
      <c r="D183" t="inlineStr" s="0">
        <is>
          <t>Pago sueldo junio Suly Sajbochol</t>
        </is>
      </c>
      <c r="E183" t="inlineStr" s="0">
        <is>
          <t>5101 - Sueldos y Salarios</t>
        </is>
      </c>
      <c r="F183" t="str" s="0">
        <f>IF(E183="","",IFERROR(VLOOKUP(E183,Config!$F$2:$G$60,2,FALSE),"Gasto"))</f>
        <v>Gasto</v>
      </c>
      <c r="G183" s="2">
        <v>4234.78</v>
      </c>
      <c r="H183" s="2">
        <f>IF(G183="","",IF(IFERROR(VLOOKUP(E183,Config!$F$2:$H$60,3,FALSE),"Exento")="Afecto",ROUND(G183-(G183/1.12),2),0))</f>
        <v>0.0</v>
      </c>
      <c r="I183" s="2">
        <f>IF(G183="","",ROUND(G183-H183,2))</f>
        <v>4234.78</v>
      </c>
      <c r="J183" t="inlineStr" s="0">
        <is>
          <t>BI- Monetaria</t>
        </is>
      </c>
      <c r="K183" s="3">
        <f>IF(G183="","",ROUND(K182+IF(J183="BI-Ahorro",0,IF(F183="Gasto",-G183,G183)),2))</f>
        <v>87659.89</v>
      </c>
      <c r="L183" s="2">
        <f>IF(G183="","",ROUND(L182+IF(LEFT(E183,4)="2102",G183,IF(J183="BI-Ahorro",-G183,0)),2))</f>
        <v>44242.49</v>
      </c>
      <c r="M183" t="inlineStr" s="0">
        <is>
          <t>BI-202265</t>
        </is>
      </c>
      <c r="N183" t="inlineStr" s="0">
        <is>
          <t>00-Administración</t>
        </is>
      </c>
      <c r="O183" t="inlineStr" s="0">
        <is>
          <t>Conciliado con extracto BI 26/06/2026</t>
        </is>
      </c>
    </row>
    <row r="184">
      <c r="A184" t="inlineStr" s="0">
        <is>
          <t>ALT-26-183</t>
        </is>
      </c>
      <c r="B184" t="inlineStr" s="0">
        <is>
          <t>2026-06-26</t>
        </is>
      </c>
      <c r="C184" t="inlineStr" s="0">
        <is>
          <t>junio</t>
        </is>
      </c>
      <c r="D184" t="inlineStr" s="0">
        <is>
          <t>Pago sueldo junio Lucía Montes</t>
        </is>
      </c>
      <c r="E184" t="inlineStr" s="0">
        <is>
          <t>5101 - Sueldos y Salarios</t>
        </is>
      </c>
      <c r="F184" t="str" s="0">
        <f>IF(E184="","",IFERROR(VLOOKUP(E184,Config!$F$2:$G$60,2,FALSE),"Gasto"))</f>
        <v>Gasto</v>
      </c>
      <c r="G184" s="2">
        <v>8574.54</v>
      </c>
      <c r="H184" s="2">
        <f>IF(G184="","",IF(IFERROR(VLOOKUP(E184,Config!$F$2:$H$60,3,FALSE),"Exento")="Afecto",ROUND(G184-(G184/1.12),2),0))</f>
        <v>0.0</v>
      </c>
      <c r="I184" s="2">
        <f>IF(G184="","",ROUND(G184-H184,2))</f>
        <v>8574.54</v>
      </c>
      <c r="J184" t="inlineStr" s="0">
        <is>
          <t>BI- Monetaria</t>
        </is>
      </c>
      <c r="K184" s="3">
        <f>IF(G184="","",ROUND(K183+IF(J184="BI-Ahorro",0,IF(F184="Gasto",-G184,G184)),2))</f>
        <v>79085.35</v>
      </c>
      <c r="L184" s="2">
        <f>IF(G184="","",ROUND(L183+IF(LEFT(E184,4)="2102",G184,IF(J184="BI-Ahorro",-G184,0)),2))</f>
        <v>44242.49</v>
      </c>
      <c r="M184" t="inlineStr" s="0">
        <is>
          <t>BI-26153755</t>
        </is>
      </c>
      <c r="N184" t="inlineStr" s="0">
        <is>
          <t>00-Administración</t>
        </is>
      </c>
      <c r="O184" t="inlineStr" s="0">
        <is>
          <t>Conciliado con extracto BI 26/06/2026</t>
        </is>
      </c>
    </row>
    <row r="185">
      <c r="A185" t="inlineStr" s="0">
        <is>
          <t>ALT-26-184</t>
        </is>
      </c>
      <c r="B185" t="inlineStr" s="0">
        <is>
          <t>2026-06-26</t>
        </is>
      </c>
      <c r="C185" t="inlineStr" s="0">
        <is>
          <t>junio</t>
        </is>
      </c>
      <c r="D185" t="inlineStr" s="0">
        <is>
          <t>Pago celular ALTUS</t>
        </is>
      </c>
      <c r="E185" t="inlineStr" s="0">
        <is>
          <t>5212 - Telecomunicaciones e internet</t>
        </is>
      </c>
      <c r="F185" t="str" s="0">
        <f>IF(E185="","",IFERROR(VLOOKUP(E185,Config!$F$2:$G$60,2,FALSE),"Gasto"))</f>
        <v>Gasto</v>
      </c>
      <c r="G185" s="2">
        <v>285.0</v>
      </c>
      <c r="H185" s="2">
        <f>IF(G185="","",IF(IFERROR(VLOOKUP(E185,Config!$F$2:$H$60,3,FALSE),"Exento")="Afecto",ROUND(G185-(G185/1.12),2),0))</f>
        <v>30.54</v>
      </c>
      <c r="I185" s="2">
        <f>IF(G185="","",ROUND(G185-H185,2))</f>
        <v>254.46</v>
      </c>
      <c r="J185" t="inlineStr" s="0">
        <is>
          <t>BI- Monetaria</t>
        </is>
      </c>
      <c r="K185" s="3">
        <f>IF(G185="","",ROUND(K184+IF(J185="BI-Ahorro",0,IF(F185="Gasto",-G185,G185)),2))</f>
        <v>78800.35</v>
      </c>
      <c r="L185" s="2">
        <f>IF(G185="","",ROUND(L184+IF(LEFT(E185,4)="2102",G185,IF(J185="BI-Ahorro",-G185,0)),2))</f>
        <v>44242.49</v>
      </c>
      <c r="M185" t="inlineStr" s="0">
        <is>
          <t>BI-26160770</t>
        </is>
      </c>
      <c r="N185" t="inlineStr" s="0">
        <is>
          <t>00-Administración</t>
        </is>
      </c>
      <c r="O185" t="inlineStr" s="0">
        <is>
          <t>Conciliado con extracto BI 26/06/2026</t>
        </is>
      </c>
    </row>
    <row r="186">
      <c r="A186" t="inlineStr" s="0">
        <is>
          <t>ALT-26-185</t>
        </is>
      </c>
      <c r="B186" t="inlineStr" s="0">
        <is>
          <t>2026-06-26</t>
        </is>
      </c>
      <c r="C186" t="inlineStr" s="0">
        <is>
          <t>junio</t>
        </is>
      </c>
      <c r="D186" t="inlineStr" s="0">
        <is>
          <t>Provisiones laborales (Traslado a BI-Ahorro)</t>
        </is>
      </c>
      <c r="E186" t="inlineStr" s="0">
        <is>
          <t>2102 - Provisiones Laborales</t>
        </is>
      </c>
      <c r="F186" t="str" s="0">
        <f>IF(E186="","",IFERROR(VLOOKUP(E186,Config!$F$2:$G$60,2,FALSE),"Gasto"))</f>
        <v>Gasto</v>
      </c>
      <c r="G186" s="2">
        <v>11552.0</v>
      </c>
      <c r="H186" s="2">
        <f>IF(G186="","",IF(IFERROR(VLOOKUP(E186,Config!$F$2:$H$60,3,FALSE),"Exento")="Afecto",ROUND(G186-(G186/1.12),2),0))</f>
        <v>0.0</v>
      </c>
      <c r="I186" s="2">
        <f>IF(G186="","",ROUND(G186-H186,2))</f>
        <v>11552.0</v>
      </c>
      <c r="J186" t="inlineStr" s="0">
        <is>
          <t>BI- Monetaria</t>
        </is>
      </c>
      <c r="K186" s="3">
        <f>IF(G186="","",ROUND(K185+IF(J186="BI-Ahorro",0,IF(F186="Gasto",-G186,G186)),2))</f>
        <v>67248.35</v>
      </c>
      <c r="L186" s="2">
        <f>IF(G186="","",ROUND(L185+IF(LEFT(E186,4)="2102",G186,IF(J186="BI-Ahorro",-G186,0)),2))</f>
        <v>55794.49</v>
      </c>
      <c r="M186" t="inlineStr" s="0">
        <is>
          <t>BI-26177492</t>
        </is>
      </c>
      <c r="N186" t="inlineStr" s="0">
        <is>
          <t>00-Administración</t>
        </is>
      </c>
      <c r="O186" t="inlineStr" s="0">
        <is>
          <t>Conciliado con extracto BI 26/06/2026</t>
        </is>
      </c>
    </row>
    <row r="187">
      <c r="A187" t="inlineStr" s="0">
        <is>
          <t>ALT-26-186</t>
        </is>
      </c>
      <c r="B187" t="inlineStr" s="0">
        <is>
          <t>2026-06-26</t>
        </is>
      </c>
      <c r="C187" t="inlineStr" s="0">
        <is>
          <t>junio</t>
        </is>
      </c>
      <c r="D187" t="inlineStr" s="0">
        <is>
          <t>Pago Nauta Estudio Redes Sociales junio</t>
        </is>
      </c>
      <c r="E187" t="inlineStr" s="0">
        <is>
          <t>5204 - Marketing y Publicidad</t>
        </is>
      </c>
      <c r="F187" t="str" s="0">
        <f>IF(E187="","",IFERROR(VLOOKUP(E187,Config!$F$2:$G$60,2,FALSE),"Gasto"))</f>
        <v>Gasto</v>
      </c>
      <c r="G187" s="2">
        <v>2650.0</v>
      </c>
      <c r="H187" s="2">
        <f>IF(G187="","",IF(IFERROR(VLOOKUP(E187,Config!$F$2:$H$60,3,FALSE),"Exento")="Afecto",ROUND(G187-(G187/1.12),2),0))</f>
        <v>283.93</v>
      </c>
      <c r="I187" s="2">
        <f>IF(G187="","",ROUND(G187-H187,2))</f>
        <v>2366.07</v>
      </c>
      <c r="J187" t="inlineStr" s="0">
        <is>
          <t>BI- Monetaria</t>
        </is>
      </c>
      <c r="K187" s="3">
        <f>IF(G187="","",ROUND(K186+IF(J187="BI-Ahorro",0,IF(F187="Gasto",-G187,G187)),2))</f>
        <v>64598.35</v>
      </c>
      <c r="L187" s="2">
        <f>IF(G187="","",ROUND(L186+IF(LEFT(E187,4)="2102",G187,IF(J187="BI-Ahorro",-G187,0)),2))</f>
        <v>55794.49</v>
      </c>
      <c r="M187" t="inlineStr" s="0">
        <is>
          <t>BI-26215848</t>
        </is>
      </c>
      <c r="N187" t="inlineStr" s="0">
        <is>
          <t>00-Administración</t>
        </is>
      </c>
      <c r="O187" t="inlineStr" s="0">
        <is>
          <t>Conciliado con extracto BI 26/06/2026</t>
        </is>
      </c>
    </row>
    <row r="188">
      <c r="A188" t="inlineStr" s="0">
        <is>
          <t>ALT-26-187</t>
        </is>
      </c>
      <c r="B188" t="inlineStr" s="0">
        <is>
          <t>2026-06-26</t>
        </is>
      </c>
      <c r="C188" t="inlineStr" s="0">
        <is>
          <t>junio</t>
        </is>
      </c>
      <c r="D188" t="inlineStr" s="0">
        <is>
          <t>Pago Bono 14 Lucía Montes</t>
        </is>
      </c>
      <c r="E188" t="inlineStr" s="0">
        <is>
          <t>5104 - Bono 14</t>
        </is>
      </c>
      <c r="F188" t="str" s="0">
        <f>IF(E188="","",IFERROR(VLOOKUP(E188,Config!$F$2:$G$60,2,FALSE),"Gasto"))</f>
        <v>Gasto</v>
      </c>
      <c r="G188" s="2">
        <v>9000.0</v>
      </c>
      <c r="H188" s="2">
        <f>IF(G188="","",IF(IFERROR(VLOOKUP(E188,Config!$F$2:$H$60,3,FALSE),"Exento")="Afecto",ROUND(G188-(G188/1.12),2),0))</f>
        <v>0.0</v>
      </c>
      <c r="I188" s="2">
        <f>IF(G188="","",ROUND(G188-H188,2))</f>
        <v>9000.0</v>
      </c>
      <c r="J188" t="inlineStr" s="0">
        <is>
          <t>BI-Ahorro</t>
        </is>
      </c>
      <c r="K188" s="3">
        <f>IF(G188="","",ROUND(K187+IF(J188="BI-Ahorro",0,IF(F188="Gasto",-G188,G188)),2))</f>
        <v>64598.35</v>
      </c>
      <c r="L188" s="2">
        <f>IF(G188="","",ROUND(L187+IF(LEFT(E188,4)="2102",G188,IF(J188="BI-Ahorro",-G188,0)),2))</f>
        <v>46794.49</v>
      </c>
      <c r="M188" t="inlineStr" s="0">
        <is>
          <t>AHO-B14-LM</t>
        </is>
      </c>
      <c r="N188" t="inlineStr" s="0">
        <is>
          <t>00-Administración</t>
        </is>
      </c>
      <c r="O188" t="inlineStr" s="0">
        <is>
          <t>Pagado desde BI-Ahorro (Reserva Laboral)</t>
        </is>
      </c>
    </row>
    <row r="189">
      <c r="A189" t="inlineStr" s="0">
        <is>
          <t>ALT-26-188</t>
        </is>
      </c>
      <c r="B189" t="inlineStr" s="0">
        <is>
          <t>2026-06-26</t>
        </is>
      </c>
      <c r="C189" t="inlineStr" s="0">
        <is>
          <t>junio</t>
        </is>
      </c>
      <c r="D189" t="inlineStr" s="0">
        <is>
          <t>Pago Bono 14 Jessica Gudiel</t>
        </is>
      </c>
      <c r="E189" t="inlineStr" s="0">
        <is>
          <t>5104 - Bono 14</t>
        </is>
      </c>
      <c r="F189" t="str" s="0">
        <f>IF(E189="","",IFERROR(VLOOKUP(E189,Config!$F$2:$G$60,2,FALSE),"Gasto"))</f>
        <v>Gasto</v>
      </c>
      <c r="G189" s="2">
        <v>6000.0</v>
      </c>
      <c r="H189" s="2">
        <f>IF(G189="","",IF(IFERROR(VLOOKUP(E189,Config!$F$2:$H$60,3,FALSE),"Exento")="Afecto",ROUND(G189-(G189/1.12),2),0))</f>
        <v>0.0</v>
      </c>
      <c r="I189" s="2">
        <f>IF(G189="","",ROUND(G189-H189,2))</f>
        <v>6000.0</v>
      </c>
      <c r="J189" t="inlineStr" s="0">
        <is>
          <t>BI-Ahorro</t>
        </is>
      </c>
      <c r="K189" s="3">
        <f>IF(G189="","",ROUND(K188+IF(J189="BI-Ahorro",0,IF(F189="Gasto",-G189,G189)),2))</f>
        <v>64598.35</v>
      </c>
      <c r="L189" s="2">
        <f>IF(G189="","",ROUND(L188+IF(LEFT(E189,4)="2102",G189,IF(J189="BI-Ahorro",-G189,0)),2))</f>
        <v>40794.49</v>
      </c>
      <c r="M189" t="inlineStr" s="0">
        <is>
          <t>AHO-B14-JG</t>
        </is>
      </c>
      <c r="N189" t="inlineStr" s="0">
        <is>
          <t>00-Administración</t>
        </is>
      </c>
      <c r="O189" t="inlineStr" s="0">
        <is>
          <t>Pagado desde BI-Ahorro (Reserva Laboral)</t>
        </is>
      </c>
    </row>
    <row r="190">
      <c r="A190" t="inlineStr" s="0">
        <is>
          <t>ALT-26-189</t>
        </is>
      </c>
      <c r="B190" t="inlineStr" s="0">
        <is>
          <t>2026-06-26</t>
        </is>
      </c>
      <c r="C190" t="inlineStr" s="0">
        <is>
          <t>junio</t>
        </is>
      </c>
      <c r="D190" t="inlineStr" s="0">
        <is>
          <t>Pago Bono 14 Geovanna Velázquez</t>
        </is>
      </c>
      <c r="E190" t="inlineStr" s="0">
        <is>
          <t>5104 - Bono 14</t>
        </is>
      </c>
      <c r="F190" t="str" s="0">
        <f>IF(E190="","",IFERROR(VLOOKUP(E190,Config!$F$2:$G$60,2,FALSE),"Gasto"))</f>
        <v>Gasto</v>
      </c>
      <c r="G190" s="2">
        <v>4200.0</v>
      </c>
      <c r="H190" s="2">
        <f>IF(G190="","",IF(IFERROR(VLOOKUP(E190,Config!$F$2:$H$60,3,FALSE),"Exento")="Afecto",ROUND(G190-(G190/1.12),2),0))</f>
        <v>0.0</v>
      </c>
      <c r="I190" s="2">
        <f>IF(G190="","",ROUND(G190-H190,2))</f>
        <v>4200.0</v>
      </c>
      <c r="J190" t="inlineStr" s="0">
        <is>
          <t>BI-Ahorro</t>
        </is>
      </c>
      <c r="K190" s="3">
        <f>IF(G190="","",ROUND(K189+IF(J190="BI-Ahorro",0,IF(F190="Gasto",-G190,G190)),2))</f>
        <v>64598.35</v>
      </c>
      <c r="L190" s="2">
        <f>IF(G190="","",ROUND(L189+IF(LEFT(E190,4)="2102",G190,IF(J190="BI-Ahorro",-G190,0)),2))</f>
        <v>36594.49</v>
      </c>
      <c r="M190" t="inlineStr" s="0">
        <is>
          <t>AHO-B14-GV</t>
        </is>
      </c>
      <c r="N190" t="inlineStr" s="0">
        <is>
          <t>00-Administración</t>
        </is>
      </c>
      <c r="O190" t="inlineStr" s="0">
        <is>
          <t>Pagado desde BI-Ahorro (Reserva Laboral)</t>
        </is>
      </c>
    </row>
    <row r="191">
      <c r="A191" t="inlineStr" s="0">
        <is>
          <t>ALT-26-190</t>
        </is>
      </c>
      <c r="B191" t="inlineStr" s="0">
        <is>
          <t>2026-06-26</t>
        </is>
      </c>
      <c r="C191" t="inlineStr" s="0">
        <is>
          <t>junio</t>
        </is>
      </c>
      <c r="D191" t="inlineStr" s="0">
        <is>
          <t>Pago Bono 14 Suly Sajbochol</t>
        </is>
      </c>
      <c r="E191" t="inlineStr" s="0">
        <is>
          <t>5104 - Bono 14</t>
        </is>
      </c>
      <c r="F191" t="str" s="0">
        <f>IF(E191="","",IFERROR(VLOOKUP(E191,Config!$F$2:$G$60,2,FALSE),"Gasto"))</f>
        <v>Gasto</v>
      </c>
      <c r="G191" s="2">
        <v>4200.0</v>
      </c>
      <c r="H191" s="2">
        <f>IF(G191="","",IF(IFERROR(VLOOKUP(E191,Config!$F$2:$H$60,3,FALSE),"Exento")="Afecto",ROUND(G191-(G191/1.12),2),0))</f>
        <v>0.0</v>
      </c>
      <c r="I191" s="2">
        <f>IF(G191="","",ROUND(G191-H191,2))</f>
        <v>4200.0</v>
      </c>
      <c r="J191" t="inlineStr" s="0">
        <is>
          <t>BI-Ahorro</t>
        </is>
      </c>
      <c r="K191" s="3">
        <f>IF(G191="","",ROUND(K190+IF(J191="BI-Ahorro",0,IF(F191="Gasto",-G191,G191)),2))</f>
        <v>64598.35</v>
      </c>
      <c r="L191" s="2">
        <f>IF(G191="","",ROUND(L190+IF(LEFT(E191,4)="2102",G191,IF(J191="BI-Ahorro",-G191,0)),2))</f>
        <v>32394.49</v>
      </c>
      <c r="M191" t="inlineStr" s="0">
        <is>
          <t>AHO-B14-SJ</t>
        </is>
      </c>
      <c r="N191" t="inlineStr" s="0">
        <is>
          <t>00-Administración</t>
        </is>
      </c>
      <c r="O191" t="inlineStr" s="0">
        <is>
          <t>Pagado desde BI-Ahorro (Reserva Laboral)</t>
        </is>
      </c>
    </row>
    <row r="192">
      <c r="A192" t="inlineStr" s="0">
        <is>
          <t>ALT-26-191</t>
        </is>
      </c>
      <c r="B192" t="inlineStr" s="0">
        <is>
          <t>2026-06-26</t>
        </is>
      </c>
      <c r="C192" t="inlineStr" s="0">
        <is>
          <t>junio</t>
        </is>
      </c>
      <c r="D192" t="inlineStr" s="0">
        <is>
          <t>Pago Bono 14 Melissa Peña</t>
        </is>
      </c>
      <c r="E192" t="inlineStr" s="0">
        <is>
          <t>5104 - Bono 14</t>
        </is>
      </c>
      <c r="F192" t="str" s="0">
        <f>IF(E192="","",IFERROR(VLOOKUP(E192,Config!$F$2:$G$60,2,FALSE),"Gasto"))</f>
        <v>Gasto</v>
      </c>
      <c r="G192" s="2">
        <v>4200.0</v>
      </c>
      <c r="H192" s="2">
        <f>IF(G192="","",IF(IFERROR(VLOOKUP(E192,Config!$F$2:$H$60,3,FALSE),"Exento")="Afecto",ROUND(G192-(G192/1.12),2),0))</f>
        <v>0.0</v>
      </c>
      <c r="I192" s="2">
        <f>IF(G192="","",ROUND(G192-H192,2))</f>
        <v>4200.0</v>
      </c>
      <c r="J192" t="inlineStr" s="0">
        <is>
          <t>BI-Ahorro</t>
        </is>
      </c>
      <c r="K192" s="3">
        <f>IF(G192="","",ROUND(K191+IF(J192="BI-Ahorro",0,IF(F192="Gasto",-G192,G192)),2))</f>
        <v>64598.35</v>
      </c>
      <c r="L192" s="2">
        <f>IF(G192="","",ROUND(L191+IF(LEFT(E192,4)="2102",G192,IF(J192="BI-Ahorro",-G192,0)),2))</f>
        <v>28194.49</v>
      </c>
      <c r="M192" t="inlineStr" s="0">
        <is>
          <t>AHO-B14-MP</t>
        </is>
      </c>
      <c r="N192" t="inlineStr" s="0">
        <is>
          <t>00-Administración</t>
        </is>
      </c>
      <c r="O192" t="inlineStr" s="0">
        <is>
          <t>Pagado desde BI-Ahorro (Reserva Laboral)</t>
        </is>
      </c>
    </row>
    <row r="193">
      <c r="A193" t="inlineStr" s="0">
        <is>
          <t>ALT-26-192</t>
        </is>
      </c>
      <c r="B193" t="inlineStr" s="0">
        <is>
          <t>2026-06-27</t>
        </is>
      </c>
      <c r="C193" t="inlineStr" s="0">
        <is>
          <t>junio</t>
        </is>
      </c>
      <c r="D193" t="inlineStr" s="0">
        <is>
          <t>Honorarios arquitecta insumos reparación baño Luisa Estrada</t>
        </is>
      </c>
      <c r="E193" t="inlineStr" s="0">
        <is>
          <t>5209 - Honorarios profesionales</t>
        </is>
      </c>
      <c r="F193" t="str" s="0">
        <f>IF(E193="","",IFERROR(VLOOKUP(E193,Config!$F$2:$G$60,2,FALSE),"Gasto"))</f>
        <v>Gasto</v>
      </c>
      <c r="G193" s="2">
        <v>1053.48</v>
      </c>
      <c r="H193" s="2">
        <f>IF(G193="","",IF(IFERROR(VLOOKUP(E193,Config!$F$2:$H$60,3,FALSE),"Exento")="Afecto",ROUND(G193-(G193/1.12),2),0))</f>
        <v>112.87</v>
      </c>
      <c r="I193" s="2">
        <f>IF(G193="","",ROUND(G193-H193,2))</f>
        <v>940.61</v>
      </c>
      <c r="J193" t="inlineStr" s="0">
        <is>
          <t>BI- Monetaria</t>
        </is>
      </c>
      <c r="K193" s="3">
        <f>IF(G193="","",ROUND(K192+IF(J193="BI-Ahorro",0,IF(F193="Gasto",-G193,G193)),2))</f>
        <v>63544.87</v>
      </c>
      <c r="L193" s="2">
        <f>IF(G193="","",ROUND(L192+IF(LEFT(E193,4)="2102",G193,IF(J193="BI-Ahorro",-G193,0)),2))</f>
        <v>28194.49</v>
      </c>
      <c r="M193" t="inlineStr" s="0">
        <is>
          <t>BI-27172293</t>
        </is>
      </c>
      <c r="N193" t="inlineStr" s="0">
        <is>
          <t>00-Administración</t>
        </is>
      </c>
      <c r="O193" t="inlineStr" s="0">
        <is>
          <t>Conciliado con extracto BI 27/06/2026</t>
        </is>
      </c>
    </row>
    <row r="194">
      <c r="A194" t="inlineStr" s="0">
        <is>
          <t>ALT-26-193</t>
        </is>
      </c>
      <c r="B194" t="inlineStr" s="0">
        <is>
          <t>2026-07-01</t>
        </is>
      </c>
      <c r="C194" t="inlineStr" s="0">
        <is>
          <t>julio</t>
        </is>
      </c>
      <c r="D194" t="inlineStr" s="0">
        <is>
          <t>Cobro mensualidad julio Andrei González</t>
        </is>
      </c>
      <c r="E194" t="inlineStr" s="0">
        <is>
          <t>4102 - Colegiaturas Mensuales</t>
        </is>
      </c>
      <c r="F194" t="str" s="0">
        <f>IF(E194="","",IFERROR(VLOOKUP(E194,Config!$F$2:$G$60,2,FALSE),"Gasto"))</f>
        <v>Ingreso</v>
      </c>
      <c r="G194" s="2">
        <v>3800.0</v>
      </c>
      <c r="H194" s="2">
        <f>IF(G194="","",IF(IFERROR(VLOOKUP(E194,Config!$F$2:$H$60,3,FALSE),"Exento")="Afecto",ROUND(G194-(G194/1.12),2),0))</f>
        <v>0.0</v>
      </c>
      <c r="I194" s="2">
        <f>IF(G194="","",ROUND(G194-H194,2))</f>
        <v>3800.0</v>
      </c>
      <c r="J194" t="inlineStr" s="0">
        <is>
          <t>BI- Monetaria</t>
        </is>
      </c>
      <c r="K194" s="3">
        <f>IF(G194="","",ROUND(K193+IF(J194="BI-Ahorro",0,IF(F194="Gasto",-G194,G194)),2))</f>
        <v>67344.87</v>
      </c>
      <c r="L194" s="2">
        <f>IF(G194="","",ROUND(L193+IF(LEFT(E194,4)="2102",G194,IF(J194="BI-Ahorro",-G194,0)),2))</f>
        <v>28194.49</v>
      </c>
      <c r="M194" t="inlineStr" s="0">
        <is>
          <t>BI-1241287</t>
        </is>
      </c>
      <c r="N194" t="inlineStr" s="0">
        <is>
          <t>01-Pre-Primaria / 02-Primaria</t>
        </is>
      </c>
      <c r="O194" t="inlineStr" s="0">
        <is>
          <t>Conciliado con extracto BI 01/07/2026</t>
        </is>
      </c>
    </row>
    <row r="195">
      <c r="A195" t="inlineStr" s="0">
        <is>
          <t>ALT-26-194</t>
        </is>
      </c>
      <c r="B195" t="inlineStr" s="0">
        <is>
          <t>2026-07-01</t>
        </is>
      </c>
      <c r="C195" t="inlineStr" s="0">
        <is>
          <t>julio</t>
        </is>
      </c>
      <c r="D195" t="inlineStr" s="0">
        <is>
          <t>Cobro mensualidad julio Gabriel Ruíz</t>
        </is>
      </c>
      <c r="E195" t="inlineStr" s="0">
        <is>
          <t>4102 - Colegiaturas Mensuales</t>
        </is>
      </c>
      <c r="F195" t="str" s="0">
        <f>IF(E195="","",IFERROR(VLOOKUP(E195,Config!$F$2:$G$60,2,FALSE),"Gasto"))</f>
        <v>Ingreso</v>
      </c>
      <c r="G195" s="2">
        <v>9300.0</v>
      </c>
      <c r="H195" s="2">
        <f>IF(G195="","",IF(IFERROR(VLOOKUP(E195,Config!$F$2:$H$60,3,FALSE),"Exento")="Afecto",ROUND(G195-(G195/1.12),2),0))</f>
        <v>0.0</v>
      </c>
      <c r="I195" s="2">
        <f>IF(G195="","",ROUND(G195-H195,2))</f>
        <v>9300.0</v>
      </c>
      <c r="J195" t="inlineStr" s="0">
        <is>
          <t>BI- Monetaria</t>
        </is>
      </c>
      <c r="K195" s="3">
        <f>IF(G195="","",ROUND(K194+IF(J195="BI-Ahorro",0,IF(F195="Gasto",-G195,G195)),2))</f>
        <v>76644.87</v>
      </c>
      <c r="L195" s="2">
        <f>IF(G195="","",ROUND(L194+IF(LEFT(E195,4)="2102",G195,IF(J195="BI-Ahorro",-G195,0)),2))</f>
        <v>28194.49</v>
      </c>
      <c r="M195" t="inlineStr" s="0">
        <is>
          <t>BI-1263713</t>
        </is>
      </c>
      <c r="N195" t="inlineStr" s="0">
        <is>
          <t>01-Pre-Primaria / 02-Primaria</t>
        </is>
      </c>
      <c r="O195" t="inlineStr" s="0">
        <is>
          <t>Conciliado con extracto BI 01/07/2026</t>
        </is>
      </c>
    </row>
    <row r="196">
      <c r="A196" t="inlineStr" s="0">
        <is>
          <t>ALT-26-195</t>
        </is>
      </c>
      <c r="B196" t="inlineStr" s="0">
        <is>
          <t>2026-07-01</t>
        </is>
      </c>
      <c r="C196" t="inlineStr" s="0">
        <is>
          <t>julio</t>
        </is>
      </c>
      <c r="D196" t="inlineStr" s="0">
        <is>
          <t>Débito BiCheque comisión manejo de cuenta julio</t>
        </is>
      </c>
      <c r="E196" t="inlineStr" s="0">
        <is>
          <t>5210 - Impuestos, tasas y arbitrios</t>
        </is>
      </c>
      <c r="F196" t="str" s="0">
        <f>IF(E196="","",IFERROR(VLOOKUP(E196,Config!$F$2:$G$60,2,FALSE),"Gasto"))</f>
        <v>Gasto</v>
      </c>
      <c r="G196" s="2">
        <v>15.0</v>
      </c>
      <c r="H196" s="2">
        <f>IF(G196="","",IF(IFERROR(VLOOKUP(E196,Config!$F$2:$H$60,3,FALSE),"Exento")="Afecto",ROUND(G196-(G196/1.12),2),0))</f>
        <v>0.0</v>
      </c>
      <c r="I196" s="2">
        <f>IF(G196="","",ROUND(G196-H196,2))</f>
        <v>15.0</v>
      </c>
      <c r="J196" t="inlineStr" s="0">
        <is>
          <t>BI- Monetaria</t>
        </is>
      </c>
      <c r="K196" s="3">
        <f>IF(G196="","",ROUND(K195+IF(J196="BI-Ahorro",0,IF(F196="Gasto",-G196,G196)),2))</f>
        <v>76629.87</v>
      </c>
      <c r="L196" s="2">
        <f>IF(G196="","",ROUND(L195+IF(LEFT(E196,4)="2102",G196,IF(J196="BI-Ahorro",-G196,0)),2))</f>
        <v>28194.49</v>
      </c>
      <c r="M196" t="inlineStr" s="0">
        <is>
          <t>BI-310320</t>
        </is>
      </c>
      <c r="N196" t="inlineStr" s="0">
        <is>
          <t>00-Administración</t>
        </is>
      </c>
      <c r="O196" t="inlineStr" s="0">
        <is>
          <t>Agregado según extracto BI 01/07/2026 (DEBITO BICHEQUE)</t>
        </is>
      </c>
    </row>
    <row r="197">
      <c r="A197" t="inlineStr" s="0">
        <is>
          <t>ALT-26-196</t>
        </is>
      </c>
      <c r="B197" t="inlineStr" s="0">
        <is>
          <t>2026-07-01</t>
        </is>
      </c>
      <c r="C197" t="inlineStr" s="0">
        <is>
          <t>julio</t>
        </is>
      </c>
      <c r="D197" t="inlineStr" s="0">
        <is>
          <t>Pago servicios Lourdes Escribá junio</t>
        </is>
      </c>
      <c r="E197" t="inlineStr" s="0">
        <is>
          <t>5209 - Honorarios profesionales</t>
        </is>
      </c>
      <c r="F197" t="str" s="0">
        <f>IF(E197="","",IFERROR(VLOOKUP(E197,Config!$F$2:$G$60,2,FALSE),"Gasto"))</f>
        <v>Gasto</v>
      </c>
      <c r="G197" s="2">
        <v>1454.0</v>
      </c>
      <c r="H197" s="2">
        <f>IF(G197="","",IF(IFERROR(VLOOKUP(E197,Config!$F$2:$H$60,3,FALSE),"Exento")="Afecto",ROUND(G197-(G197/1.12),2),0))</f>
        <v>155.79</v>
      </c>
      <c r="I197" s="2">
        <f>IF(G197="","",ROUND(G197-H197,2))</f>
        <v>1298.21</v>
      </c>
      <c r="J197" t="inlineStr" s="0">
        <is>
          <t>BI- Monetaria</t>
        </is>
      </c>
      <c r="K197" s="3">
        <f>IF(G197="","",ROUND(K196+IF(J197="BI-Ahorro",0,IF(F197="Gasto",-G197,G197)),2))</f>
        <v>75175.87</v>
      </c>
      <c r="L197" s="2">
        <f>IF(G197="","",ROUND(L196+IF(LEFT(E197,4)="2102",G197,IF(J197="BI-Ahorro",-G197,0)),2))</f>
        <v>28194.49</v>
      </c>
      <c r="M197" t="inlineStr" s="0">
        <is>
          <t>BI-1113817</t>
        </is>
      </c>
      <c r="N197" t="inlineStr" s="0">
        <is>
          <t>00-Administración</t>
        </is>
      </c>
      <c r="O197" t="inlineStr" s="0">
        <is>
          <t>Conciliado con extracto BI 01/07/2026</t>
        </is>
      </c>
    </row>
    <row r="198">
      <c r="A198" t="inlineStr" s="0">
        <is>
          <t>ALT-26-197</t>
        </is>
      </c>
      <c r="B198" t="inlineStr" s="0">
        <is>
          <t>2026-07-01</t>
        </is>
      </c>
      <c r="C198" t="inlineStr" s="0">
        <is>
          <t>julio</t>
        </is>
      </c>
      <c r="D198" t="inlineStr" s="0">
        <is>
          <t>Pago honorarios contabilidad Sergio contador</t>
        </is>
      </c>
      <c r="E198" t="inlineStr" s="0">
        <is>
          <t>5209 - Honorarios profesionales</t>
        </is>
      </c>
      <c r="F198" t="str" s="0">
        <f>IF(E198="","",IFERROR(VLOOKUP(E198,Config!$F$2:$G$60,2,FALSE),"Gasto"))</f>
        <v>Gasto</v>
      </c>
      <c r="G198" s="2">
        <v>350.0</v>
      </c>
      <c r="H198" s="2">
        <f>IF(G198="","",IF(IFERROR(VLOOKUP(E198,Config!$F$2:$H$60,3,FALSE),"Exento")="Afecto",ROUND(G198-(G198/1.12),2),0))</f>
        <v>37.5</v>
      </c>
      <c r="I198" s="2">
        <f>IF(G198="","",ROUND(G198-H198,2))</f>
        <v>312.5</v>
      </c>
      <c r="J198" t="inlineStr" s="0">
        <is>
          <t>BI- Monetaria</t>
        </is>
      </c>
      <c r="K198" s="3">
        <f>IF(G198="","",ROUND(K197+IF(J198="BI-Ahorro",0,IF(F198="Gasto",-G198,G198)),2))</f>
        <v>74825.87</v>
      </c>
      <c r="L198" s="2">
        <f>IF(G198="","",ROUND(L197+IF(LEFT(E198,4)="2102",G198,IF(J198="BI-Ahorro",-G198,0)),2))</f>
        <v>28194.49</v>
      </c>
      <c r="M198" t="inlineStr" s="0">
        <is>
          <t>BI-1136800</t>
        </is>
      </c>
      <c r="N198" t="inlineStr" s="0">
        <is>
          <t>00-Administración</t>
        </is>
      </c>
      <c r="O198" t="inlineStr" s="0">
        <is>
          <t>Conciliado con extracto BI 01/07/2026</t>
        </is>
      </c>
    </row>
    <row r="199">
      <c r="A199" t="inlineStr" s="0">
        <is>
          <t>ALT-26-198</t>
        </is>
      </c>
      <c r="B199" t="inlineStr" s="0">
        <is>
          <t>2026-07-02</t>
        </is>
      </c>
      <c r="C199" t="inlineStr" s="0">
        <is>
          <t>julio</t>
        </is>
      </c>
      <c r="D199" t="inlineStr" s="0">
        <is>
          <t>Google Workspace_altus US</t>
        </is>
      </c>
      <c r="E199" t="inlineStr" s="0">
        <is>
          <t>5212 - Telecomunicaciones e internet</t>
        </is>
      </c>
      <c r="F199" t="str" s="0">
        <f>IF(E199="","",IFERROR(VLOOKUP(E199,Config!$F$2:$G$60,2,FALSE),"Gasto"))</f>
        <v>Gasto</v>
      </c>
      <c r="G199" s="2">
        <v>234.96</v>
      </c>
      <c r="H199" s="2">
        <f>IF(G199="","",IF(IFERROR(VLOOKUP(E199,Config!$F$2:$H$60,3,FALSE),"Exento")="Afecto",ROUND(G199-(G199/1.12),2),0))</f>
        <v>25.17</v>
      </c>
      <c r="I199" s="2">
        <f>IF(G199="","",ROUND(G199-H199,2))</f>
        <v>209.79</v>
      </c>
      <c r="J199" t="inlineStr" s="0">
        <is>
          <t>BI- Monetaria</t>
        </is>
      </c>
      <c r="K199" s="3">
        <f>IF(G199="","",ROUND(K198+IF(J199="BI-Ahorro",0,IF(F199="Gasto",-G199,G199)),2))</f>
        <v>74590.91</v>
      </c>
      <c r="L199" s="2">
        <f>IF(G199="","",ROUND(L198+IF(LEFT(E199,4)="2102",G199,IF(J199="BI-Ahorro",-G199,0)),2))</f>
        <v>28194.49</v>
      </c>
      <c r="M199" t="inlineStr" s="0">
        <is>
          <t>BI-99468</t>
        </is>
      </c>
      <c r="N199" t="inlineStr" s="0">
        <is>
          <t>00-Administración</t>
        </is>
      </c>
      <c r="O199" t="inlineStr" s="0">
        <is>
          <t>Conciliado con extracto BI 02/07/2026</t>
        </is>
      </c>
    </row>
    <row r="200">
      <c r="A200" t="inlineStr" s="0">
        <is>
          <t>ALT-26-199</t>
        </is>
      </c>
      <c r="B200" t="inlineStr" s="0">
        <is>
          <t>2026-07-02</t>
        </is>
      </c>
      <c r="C200" t="inlineStr" s="0">
        <is>
          <t>julio</t>
        </is>
      </c>
      <c r="D200" t="inlineStr" s="0">
        <is>
          <t>Pago ISR Empleados SAT</t>
        </is>
      </c>
      <c r="E200" t="inlineStr" s="0">
        <is>
          <t>2105 - ISR Retenciones por Pagar</t>
        </is>
      </c>
      <c r="F200" t="str" s="0">
        <f>IF(E200="","",IFERROR(VLOOKUP(E200,Config!$F$2:$G$60,2,FALSE),"Gasto"))</f>
        <v>Gasto</v>
      </c>
      <c r="G200" s="2">
        <v>375.88</v>
      </c>
      <c r="H200" s="2">
        <f>IF(G200="","",IF(IFERROR(VLOOKUP(E200,Config!$F$2:$H$60,3,FALSE),"Exento")="Afecto",ROUND(G200-(G200/1.12),2),0))</f>
        <v>0.0</v>
      </c>
      <c r="I200" s="2">
        <f>IF(G200="","",ROUND(G200-H200,2))</f>
        <v>375.88</v>
      </c>
      <c r="J200" t="inlineStr" s="0">
        <is>
          <t>BI- Monetaria</t>
        </is>
      </c>
      <c r="K200" s="3">
        <f>IF(G200="","",ROUND(K199+IF(J200="BI-Ahorro",0,IF(F200="Gasto",-G200,G200)),2))</f>
        <v>74215.03</v>
      </c>
      <c r="L200" s="2">
        <f>IF(G200="","",ROUND(L199+IF(LEFT(E200,4)="2102",G200,IF(J200="BI-Ahorro",-G200,0)),2))</f>
        <v>28194.49</v>
      </c>
      <c r="M200" t="inlineStr" s="0">
        <is>
          <t>BI-2175006</t>
        </is>
      </c>
      <c r="N200" t="inlineStr" s="0">
        <is>
          <t>00-Administración</t>
        </is>
      </c>
      <c r="O200" t="inlineStr" s="0">
        <is>
          <t>Conciliado con extracto BI 02/07/2026</t>
        </is>
      </c>
    </row>
    <row r="201">
      <c r="A201" t="inlineStr" s="0">
        <is>
          <t>ALT-26-200</t>
        </is>
      </c>
      <c r="B201" t="inlineStr" s="0">
        <is>
          <t>2026-07-02</t>
        </is>
      </c>
      <c r="C201" t="inlineStr" s="0">
        <is>
          <t>julio</t>
        </is>
      </c>
      <c r="D201" t="inlineStr" s="0">
        <is>
          <t>Pago teléfono / celular ALTUS</t>
        </is>
      </c>
      <c r="E201" t="inlineStr" s="0">
        <is>
          <t>5212 - Telecomunicaciones e internet</t>
        </is>
      </c>
      <c r="F201" t="str" s="0">
        <f>IF(E201="","",IFERROR(VLOOKUP(E201,Config!$F$2:$G$60,2,FALSE),"Gasto"))</f>
        <v>Gasto</v>
      </c>
      <c r="G201" s="2">
        <v>285.0</v>
      </c>
      <c r="H201" s="2">
        <f>IF(G201="","",IF(IFERROR(VLOOKUP(E201,Config!$F$2:$H$60,3,FALSE),"Exento")="Afecto",ROUND(G201-(G201/1.12),2),0))</f>
        <v>30.54</v>
      </c>
      <c r="I201" s="2">
        <f>IF(G201="","",ROUND(G201-H201,2))</f>
        <v>254.46</v>
      </c>
      <c r="J201" t="inlineStr" s="0">
        <is>
          <t>BI- Monetaria</t>
        </is>
      </c>
      <c r="K201" s="3">
        <f>IF(G201="","",ROUND(K200+IF(J201="BI-Ahorro",0,IF(F201="Gasto",-G201,G201)),2))</f>
        <v>73930.03</v>
      </c>
      <c r="L201" s="2">
        <f>IF(G201="","",ROUND(L200+IF(LEFT(E201,4)="2102",G201,IF(J201="BI-Ahorro",-G201,0)),2))</f>
        <v>28194.49</v>
      </c>
      <c r="M201" t="inlineStr" s="0">
        <is>
          <t>BI-2261205</t>
        </is>
      </c>
      <c r="N201" t="inlineStr" s="0">
        <is>
          <t>00-Administración</t>
        </is>
      </c>
      <c r="O201" t="inlineStr" s="0">
        <is>
          <t>Conciliado con extracto BI 02/07/2026</t>
        </is>
      </c>
    </row>
    <row r="202">
      <c r="A202" t="inlineStr" s="0">
        <is>
          <t>ALT-26-201</t>
        </is>
      </c>
      <c r="B202" t="inlineStr" s="0">
        <is>
          <t>2026-07-03</t>
        </is>
      </c>
      <c r="C202" t="inlineStr" s="0">
        <is>
          <t>julio</t>
        </is>
      </c>
      <c r="D202" t="inlineStr" s="0">
        <is>
          <t>Cobro mensualidad julio Adriana García</t>
        </is>
      </c>
      <c r="E202" t="inlineStr" s="0">
        <is>
          <t>4102 - Colegiaturas Mensuales</t>
        </is>
      </c>
      <c r="F202" t="str" s="0">
        <f>IF(E202="","",IFERROR(VLOOKUP(E202,Config!$F$2:$G$60,2,FALSE),"Gasto"))</f>
        <v>Ingreso</v>
      </c>
      <c r="G202" s="2">
        <v>9300.0</v>
      </c>
      <c r="H202" s="2">
        <f>IF(G202="","",IF(IFERROR(VLOOKUP(E202,Config!$F$2:$H$60,3,FALSE),"Exento")="Afecto",ROUND(G202-(G202/1.12),2),0))</f>
        <v>0.0</v>
      </c>
      <c r="I202" s="2">
        <f>IF(G202="","",ROUND(G202-H202,2))</f>
        <v>9300.0</v>
      </c>
      <c r="J202" t="inlineStr" s="0">
        <is>
          <t>BI- Monetaria</t>
        </is>
      </c>
      <c r="K202" s="3">
        <f>IF(G202="","",ROUND(K201+IF(J202="BI-Ahorro",0,IF(F202="Gasto",-G202,G202)),2))</f>
        <v>83230.03</v>
      </c>
      <c r="L202" s="2">
        <f>IF(G202="","",ROUND(L201+IF(LEFT(E202,4)="2102",G202,IF(J202="BI-Ahorro",-G202,0)),2))</f>
        <v>28194.49</v>
      </c>
      <c r="M202" t="inlineStr" s="0">
        <is>
          <t>BI-3126065</t>
        </is>
      </c>
      <c r="N202" t="inlineStr" s="0">
        <is>
          <t>01-Pre-Primaria / 02-Primaria</t>
        </is>
      </c>
      <c r="O202" t="inlineStr" s="0">
        <is>
          <t>Conciliado con extracto BI 03/07/2026</t>
        </is>
      </c>
    </row>
    <row r="203">
      <c r="A203" t="inlineStr" s="0">
        <is>
          <t>ALT-26-202</t>
        </is>
      </c>
      <c r="B203" t="inlineStr" s="0">
        <is>
          <t>2026-07-05</t>
        </is>
      </c>
      <c r="C203" t="inlineStr" s="0">
        <is>
          <t>julio</t>
        </is>
      </c>
      <c r="D203" t="inlineStr" s="0">
        <is>
          <t>Cobro mensualidad julio Luís Felipe Guzmán (Pamela Sosa)</t>
        </is>
      </c>
      <c r="E203" t="inlineStr" s="0">
        <is>
          <t>4102 - Colegiaturas Mensuales</t>
        </is>
      </c>
      <c r="F203" t="str" s="0">
        <f>IF(E203="","",IFERROR(VLOOKUP(E203,Config!$F$2:$G$60,2,FALSE),"Gasto"))</f>
        <v>Ingreso</v>
      </c>
      <c r="G203" s="2">
        <v>9300.0</v>
      </c>
      <c r="H203" s="2">
        <f>IF(G203="","",IF(IFERROR(VLOOKUP(E203,Config!$F$2:$H$60,3,FALSE),"Exento")="Afecto",ROUND(G203-(G203/1.12),2),0))</f>
        <v>0.0</v>
      </c>
      <c r="I203" s="2">
        <f>IF(G203="","",ROUND(G203-H203,2))</f>
        <v>9300.0</v>
      </c>
      <c r="J203" t="inlineStr" s="0">
        <is>
          <t>BI- Monetaria</t>
        </is>
      </c>
      <c r="K203" s="3">
        <f>IF(G203="","",ROUND(K202+IF(J203="BI-Ahorro",0,IF(F203="Gasto",-G203,G203)),2))</f>
        <v>92530.03</v>
      </c>
      <c r="L203" s="2">
        <f>IF(G203="","",ROUND(L202+IF(LEFT(E203,4)="2102",G203,IF(J203="BI-Ahorro",-G203,0)),2))</f>
        <v>28194.49</v>
      </c>
      <c r="M203" t="inlineStr" s="0">
        <is>
          <t>BI-5194232</t>
        </is>
      </c>
      <c r="N203" t="inlineStr" s="0">
        <is>
          <t>01-Pre-Primaria / 02-Primaria</t>
        </is>
      </c>
      <c r="O203" t="inlineStr" s="0">
        <is>
          <t>Conciliado con extracto BI 05/07/2026</t>
        </is>
      </c>
    </row>
    <row r="204">
      <c r="A204" t="inlineStr" s="0">
        <is>
          <t>ALT-26-203</t>
        </is>
      </c>
      <c r="B204" t="inlineStr" s="0">
        <is>
          <t>2026-07-06</t>
        </is>
      </c>
      <c r="C204" t="inlineStr" s="0">
        <is>
          <t>julio</t>
        </is>
      </c>
      <c r="D204" t="inlineStr" s="0">
        <is>
          <t>Cobro mensualidad julio Giulia Fiorini</t>
        </is>
      </c>
      <c r="E204" t="inlineStr" s="0">
        <is>
          <t>4102 - Colegiaturas Mensuales</t>
        </is>
      </c>
      <c r="F204" t="str" s="0">
        <f>IF(E204="","",IFERROR(VLOOKUP(E204,Config!$F$2:$G$60,2,FALSE),"Gasto"))</f>
        <v>Ingreso</v>
      </c>
      <c r="G204" s="2">
        <v>1850.0</v>
      </c>
      <c r="H204" s="2">
        <f>IF(G204="","",IF(IFERROR(VLOOKUP(E204,Config!$F$2:$H$60,3,FALSE),"Exento")="Afecto",ROUND(G204-(G204/1.12),2),0))</f>
        <v>0.0</v>
      </c>
      <c r="I204" s="2">
        <f>IF(G204="","",ROUND(G204-H204,2))</f>
        <v>1850.0</v>
      </c>
      <c r="J204" t="inlineStr" s="0">
        <is>
          <t>BI- Monetaria</t>
        </is>
      </c>
      <c r="K204" s="3">
        <f>IF(G204="","",ROUND(K203+IF(J204="BI-Ahorro",0,IF(F204="Gasto",-G204,G204)),2))</f>
        <v>94380.03</v>
      </c>
      <c r="L204" s="2">
        <f>IF(G204="","",ROUND(L203+IF(LEFT(E204,4)="2102",G204,IF(J204="BI-Ahorro",-G204,0)),2))</f>
        <v>28194.49</v>
      </c>
      <c r="M204" t="inlineStr" s="0">
        <is>
          <t>BI-145540-A</t>
        </is>
      </c>
      <c r="N204" t="inlineStr" s="0">
        <is>
          <t>01-Pre-Primaria / 02-Primaria</t>
        </is>
      </c>
      <c r="O204" t="inlineStr" s="0">
        <is>
          <t>Parte de ACH Dilson Gerardo Fiori Q2,158.34</t>
        </is>
      </c>
    </row>
    <row r="205">
      <c r="A205" t="inlineStr" s="0">
        <is>
          <t>ALT-26-204</t>
        </is>
      </c>
      <c r="B205" t="inlineStr" s="0">
        <is>
          <t>2026-07-06</t>
        </is>
      </c>
      <c r="C205" t="inlineStr" s="0">
        <is>
          <t>julio</t>
        </is>
      </c>
      <c r="D205" t="inlineStr" s="0">
        <is>
          <t>Cobro anticipo 4/6 inscripción Giulia Fiorini</t>
        </is>
      </c>
      <c r="E205" t="inlineStr" s="0">
        <is>
          <t>4101 - Inscripciones</t>
        </is>
      </c>
      <c r="F205" t="str" s="0">
        <f>IF(E205="","",IFERROR(VLOOKUP(E205,Config!$F$2:$G$60,2,FALSE),"Gasto"))</f>
        <v>Ingreso</v>
      </c>
      <c r="G205" s="2">
        <v>308.34</v>
      </c>
      <c r="H205" s="2">
        <f>IF(G205="","",IF(IFERROR(VLOOKUP(E205,Config!$F$2:$H$60,3,FALSE),"Exento")="Afecto",ROUND(G205-(G205/1.12),2),0))</f>
        <v>0.0</v>
      </c>
      <c r="I205" s="2">
        <f>IF(G205="","",ROUND(G205-H205,2))</f>
        <v>308.34</v>
      </c>
      <c r="J205" t="inlineStr" s="0">
        <is>
          <t>BI- Monetaria</t>
        </is>
      </c>
      <c r="K205" s="3">
        <f>IF(G205="","",ROUND(K204+IF(J205="BI-Ahorro",0,IF(F205="Gasto",-G205,G205)),2))</f>
        <v>94688.37</v>
      </c>
      <c r="L205" s="2">
        <f>IF(G205="","",ROUND(L204+IF(LEFT(E205,4)="2102",G205,IF(J205="BI-Ahorro",-G205,0)),2))</f>
        <v>28194.49</v>
      </c>
      <c r="M205" t="inlineStr" s="0">
        <is>
          <t>BI-145540-B</t>
        </is>
      </c>
      <c r="N205" t="inlineStr" s="0">
        <is>
          <t>01-Pre-Primaria / 02-Primaria</t>
        </is>
      </c>
      <c r="O205" t="inlineStr" s="0">
        <is>
          <t>Parte de ACH Dilson Gerardo Fiori Q2,158.34</t>
        </is>
      </c>
    </row>
    <row r="206">
      <c r="A206" t="inlineStr" s="0">
        <is>
          <t>ALT-26-205</t>
        </is>
      </c>
      <c r="B206" t="inlineStr" s="0">
        <is>
          <t>2026-07-07</t>
        </is>
      </c>
      <c r="C206" t="inlineStr" s="0">
        <is>
          <t>julio</t>
        </is>
      </c>
      <c r="D206" t="inlineStr" s="0">
        <is>
          <t>Cobro anticipo 1/2 mensualidad junio Günther Márquez</t>
        </is>
      </c>
      <c r="E206" t="inlineStr" s="0">
        <is>
          <t>4102 - Colegiaturas Mensuales</t>
        </is>
      </c>
      <c r="F206" t="str" s="0">
        <f>IF(E206="","",IFERROR(VLOOKUP(E206,Config!$F$2:$G$60,2,FALSE),"Gasto"))</f>
        <v>Ingreso</v>
      </c>
      <c r="G206" s="2">
        <v>2758.33</v>
      </c>
      <c r="H206" s="2">
        <f>IF(G206="","",IF(IFERROR(VLOOKUP(E206,Config!$F$2:$H$60,3,FALSE),"Exento")="Afecto",ROUND(G206-(G206/1.12),2),0))</f>
        <v>0.0</v>
      </c>
      <c r="I206" s="2">
        <f>IF(G206="","",ROUND(G206-H206,2))</f>
        <v>2758.33</v>
      </c>
      <c r="J206" t="inlineStr" s="0">
        <is>
          <t>BI- Monetaria</t>
        </is>
      </c>
      <c r="K206" s="3">
        <f>IF(G206="","",ROUND(K205+IF(J206="BI-Ahorro",0,IF(F206="Gasto",-G206,G206)),2))</f>
        <v>97446.7</v>
      </c>
      <c r="L206" s="2">
        <f>IF(G206="","",ROUND(L205+IF(LEFT(E206,4)="2102",G206,IF(J206="BI-Ahorro",-G206,0)),2))</f>
        <v>28194.49</v>
      </c>
      <c r="M206" t="inlineStr" s="0">
        <is>
          <t>BI-176264</t>
        </is>
      </c>
      <c r="N206" t="inlineStr" s="0">
        <is>
          <t>01-Pre-Primaria / 02-Primaria</t>
        </is>
      </c>
      <c r="O206" t="inlineStr" s="0">
        <is>
          <t>Conciliado con extracto BI 07/07/2026</t>
        </is>
      </c>
    </row>
    <row r="207">
      <c r="A207" t="inlineStr" s="0">
        <is>
          <t>ALT-26-206</t>
        </is>
      </c>
      <c r="B207" t="inlineStr" s="0">
        <is>
          <t>2026-07-09</t>
        </is>
      </c>
      <c r="C207" t="inlineStr" s="0">
        <is>
          <t>julio</t>
        </is>
      </c>
      <c r="D207" t="inlineStr" s="0">
        <is>
          <t>Cobro mensualidad julio Mateo Toribio</t>
        </is>
      </c>
      <c r="E207" t="inlineStr" s="0">
        <is>
          <t>4102 - Colegiaturas Mensuales</t>
        </is>
      </c>
      <c r="F207" t="str" s="0">
        <f>IF(E207="","",IFERROR(VLOOKUP(E207,Config!$F$2:$G$60,2,FALSE),"Gasto"))</f>
        <v>Ingreso</v>
      </c>
      <c r="G207" s="2">
        <v>9300.0</v>
      </c>
      <c r="H207" s="2">
        <f>IF(G207="","",IF(IFERROR(VLOOKUP(E207,Config!$F$2:$H$60,3,FALSE),"Exento")="Afecto",ROUND(G207-(G207/1.12),2),0))</f>
        <v>0.0</v>
      </c>
      <c r="I207" s="2">
        <f>IF(G207="","",ROUND(G207-H207,2))</f>
        <v>9300.0</v>
      </c>
      <c r="J207" t="inlineStr" s="0">
        <is>
          <t>BI- Monetaria</t>
        </is>
      </c>
      <c r="K207" s="3">
        <f>IF(G207="","",ROUND(K206+IF(J207="BI-Ahorro",0,IF(F207="Gasto",-G207,G207)),2))</f>
        <v>106746.7</v>
      </c>
      <c r="L207" s="2">
        <f>IF(G207="","",ROUND(L206+IF(LEFT(E207,4)="2102",G207,IF(J207="BI-Ahorro",-G207,0)),2))</f>
        <v>28194.49</v>
      </c>
      <c r="M207" t="inlineStr" s="0">
        <is>
          <t>BI-9185796</t>
        </is>
      </c>
      <c r="N207" t="inlineStr" s="0">
        <is>
          <t>01-Pre-Primaria / 02-Primaria</t>
        </is>
      </c>
      <c r="O207" t="inlineStr" s="0">
        <is>
          <t>Conciliado con extracto BI 09/07/2026</t>
        </is>
      </c>
    </row>
    <row r="208">
      <c r="A208" t="inlineStr" s="0">
        <is>
          <t>ALT-26-207</t>
        </is>
      </c>
      <c r="B208" t="inlineStr" s="0">
        <is>
          <t>2026-07-10</t>
        </is>
      </c>
      <c r="C208" t="inlineStr" s="0">
        <is>
          <t>julio</t>
        </is>
      </c>
      <c r="D208" t="inlineStr" s="0">
        <is>
          <t>Regalo Día del Maestro</t>
        </is>
      </c>
      <c r="E208" t="inlineStr" s="0">
        <is>
          <t>5205 - Actividades y excursiones</t>
        </is>
      </c>
      <c r="F208" t="str" s="0">
        <f>IF(E208="","",IFERROR(VLOOKUP(E208,Config!$F$2:$G$60,2,FALSE),"Gasto"))</f>
        <v>Gasto</v>
      </c>
      <c r="G208" s="2">
        <v>895.0</v>
      </c>
      <c r="H208" s="2">
        <f>IF(G208="","",IF(IFERROR(VLOOKUP(E208,Config!$F$2:$H$60,3,FALSE),"Exento")="Afecto",ROUND(G208-(G208/1.12),2),0))</f>
        <v>95.89</v>
      </c>
      <c r="I208" s="2">
        <f>IF(G208="","",ROUND(G208-H208,2))</f>
        <v>799.11</v>
      </c>
      <c r="J208" t="inlineStr" s="0">
        <is>
          <t>BI- Monetaria</t>
        </is>
      </c>
      <c r="K208" s="3">
        <f>IF(G208="","",ROUND(K207+IF(J208="BI-Ahorro",0,IF(F208="Gasto",-G208,G208)),2))</f>
        <v>105851.7</v>
      </c>
      <c r="L208" s="2">
        <f>IF(G208="","",ROUND(L207+IF(LEFT(E208,4)="2102",G208,IF(J208="BI-Ahorro",-G208,0)),2))</f>
        <v>28194.49</v>
      </c>
      <c r="M208" t="inlineStr" s="0">
        <is>
          <t>BI-10216419</t>
        </is>
      </c>
      <c r="N208" t="inlineStr" s="0">
        <is>
          <t>00-Administración</t>
        </is>
      </c>
      <c r="O208" t="inlineStr" s="0">
        <is>
          <t>Conciliado con extracto BI 10/07/2026</t>
        </is>
      </c>
    </row>
    <row r="209">
      <c r="A209" t="inlineStr" s="0">
        <is>
          <t>ALT-26-208</t>
        </is>
      </c>
      <c r="B209" t="inlineStr" s="0">
        <is>
          <t>2026-07-14</t>
        </is>
      </c>
      <c r="C209" t="inlineStr" s="0">
        <is>
          <t>julio</t>
        </is>
      </c>
      <c r="D209" t="inlineStr" s="0">
        <is>
          <t>Anticipo 4/6 inscripción 2026 Rodrigo Gallinsa</t>
        </is>
      </c>
      <c r="E209" t="inlineStr" s="0">
        <is>
          <t>4101 - Inscripciones</t>
        </is>
      </c>
      <c r="F209" t="str" s="0">
        <f>IF(E209="","",IFERROR(VLOOKUP(E209,Config!$F$2:$G$60,2,FALSE),"Gasto"))</f>
        <v>Ingreso</v>
      </c>
      <c r="G209" s="2">
        <v>1287.5</v>
      </c>
      <c r="H209" s="2">
        <f>IF(G209="","",IF(IFERROR(VLOOKUP(E209,Config!$F$2:$H$60,3,FALSE),"Exento")="Afecto",ROUND(G209-(G209/1.12),2),0))</f>
        <v>0.0</v>
      </c>
      <c r="I209" s="2">
        <f>IF(G209="","",ROUND(G209-H209,2))</f>
        <v>1287.5</v>
      </c>
      <c r="J209" t="inlineStr" s="0">
        <is>
          <t>BI- Monetaria</t>
        </is>
      </c>
      <c r="K209" s="3">
        <f>IF(G209="","",ROUND(K208+IF(J209="BI-Ahorro",0,IF(F209="Gasto",-G209,G209)),2))</f>
        <v>107139.2</v>
      </c>
      <c r="L209" s="2">
        <f>IF(G209="","",ROUND(L208+IF(LEFT(E209,4)="2102",G209,IF(J209="BI-Ahorro",-G209,0)),2))</f>
        <v>28194.49</v>
      </c>
      <c r="M209" t="inlineStr" s="0">
        <is>
          <t>BI-14170107</t>
        </is>
      </c>
      <c r="N209" t="inlineStr" s="0">
        <is>
          <t>01-Pre-Primaria / 02-Primaria</t>
        </is>
      </c>
      <c r="O209" t="inlineStr" s="0">
        <is>
          <t>Conciliado con extracto BI 14/07/2026</t>
        </is>
      </c>
    </row>
    <row r="210">
      <c r="A210" t="inlineStr" s="0">
        <is>
          <t>ALT-26-209</t>
        </is>
      </c>
      <c r="B210" t="inlineStr" s="0">
        <is>
          <t>2026-07-14</t>
        </is>
      </c>
      <c r="C210" t="inlineStr" s="0">
        <is>
          <t>julio</t>
        </is>
      </c>
      <c r="D210" t="inlineStr" s="0">
        <is>
          <t>Cobro anticipo 1/2 inscripción 2027 Gabriel Ruíz</t>
        </is>
      </c>
      <c r="E210" t="inlineStr" s="0">
        <is>
          <t>2107 - Anticipo de inscripciones</t>
        </is>
      </c>
      <c r="F210" t="str" s="0">
        <f>IF(E210="","",IFERROR(VLOOKUP(E210,Config!$F$2:$G$60,2,FALSE),"Gasto"))</f>
        <v>Pasivo</v>
      </c>
      <c r="G210" s="2">
        <v>5150.0</v>
      </c>
      <c r="H210" s="2">
        <f>IF(G210="","",IF(IFERROR(VLOOKUP(E210,Config!$F$2:$H$60,3,FALSE),"Exento")="Afecto",ROUND(G210-(G210/1.12),2),0))</f>
        <v>0.0</v>
      </c>
      <c r="I210" s="2">
        <f>IF(G210="","",ROUND(G210-H210,2))</f>
        <v>5150.0</v>
      </c>
      <c r="J210" t="inlineStr" s="0">
        <is>
          <t>BI- Monetaria</t>
        </is>
      </c>
      <c r="K210" s="3">
        <f>IF(G210="","",ROUND(K209+IF(J210="BI-Ahorro",0,IF(F210="Gasto",-G210,G210)),2))</f>
        <v>112289.2</v>
      </c>
      <c r="L210" s="2">
        <f>IF(G210="","",ROUND(L209+IF(LEFT(E210,4)="2102",G210,IF(J210="BI-Ahorro",-G210,0)),2))</f>
        <v>28194.49</v>
      </c>
      <c r="M210" t="inlineStr" s="0">
        <is>
          <t>BI-14201939</t>
        </is>
      </c>
      <c r="N210" t="inlineStr" s="0">
        <is>
          <t>00-Administración</t>
        </is>
      </c>
      <c r="O210" t="inlineStr" s="0">
        <is>
          <t>Conciliado con extracto BI 14/07/2026</t>
        </is>
      </c>
    </row>
    <row r="211">
      <c r="A211" t="inlineStr" s="0">
        <is>
          <t>ALT-26-210</t>
        </is>
      </c>
      <c r="B211" t="inlineStr" s="0">
        <is>
          <t>2026-07-20</t>
        </is>
      </c>
      <c r="C211" t="inlineStr" s="0">
        <is>
          <t>julio</t>
        </is>
      </c>
      <c r="D211" t="inlineStr" s="0">
        <is>
          <t>Pago papelería MINEDUC Ma. Regina</t>
        </is>
      </c>
      <c r="E211" t="inlineStr" s="0">
        <is>
          <t>5209 - Honorarios profesionales</t>
        </is>
      </c>
      <c r="F211" t="str" s="0">
        <f>IF(E211="","",IFERROR(VLOOKUP(E211,Config!$F$2:$G$60,2,FALSE),"Gasto"))</f>
        <v>Gasto</v>
      </c>
      <c r="G211" s="2">
        <v>1000.0</v>
      </c>
      <c r="H211" s="2">
        <f>IF(G211="","",IF(IFERROR(VLOOKUP(E211,Config!$F$2:$H$60,3,FALSE),"Exento")="Afecto",ROUND(G211-(G211/1.12),2),0))</f>
        <v>107.14</v>
      </c>
      <c r="I211" s="2">
        <f>IF(G211="","",ROUND(G211-H211,2))</f>
        <v>892.86</v>
      </c>
      <c r="J211" t="inlineStr" s="0">
        <is>
          <t>BI- Monetaria</t>
        </is>
      </c>
      <c r="K211" s="3">
        <f>IF(G211="","",ROUND(K210+IF(J211="BI-Ahorro",0,IF(F211="Gasto",-G211,G211)),2))</f>
        <v>111289.2</v>
      </c>
      <c r="L211" s="2">
        <f>IF(G211="","",ROUND(L210+IF(LEFT(E211,4)="2102",G211,IF(J211="BI-Ahorro",-G211,0)),2))</f>
        <v>28194.49</v>
      </c>
      <c r="M211" t="inlineStr" s="0">
        <is>
          <t>BI-149015</t>
        </is>
      </c>
      <c r="N211" t="inlineStr" s="0">
        <is>
          <t>00-Administración</t>
        </is>
      </c>
      <c r="O211" t="inlineStr" s="0">
        <is>
          <t>Conciliado con extracto BI 20/07/2026</t>
        </is>
      </c>
    </row>
    <row r="212">
      <c r="A212" t="inlineStr" s="0">
        <is>
          <t>ALT-26-211</t>
        </is>
      </c>
      <c r="B212" t="inlineStr" s="0">
        <is>
          <t>2026-07-27</t>
        </is>
      </c>
      <c r="C212" t="inlineStr" s="0">
        <is>
          <t>julio</t>
        </is>
      </c>
      <c r="D212" t="inlineStr" s="0">
        <is>
          <t>Pago suministros (compras Jessi)</t>
        </is>
      </c>
      <c r="E212" t="inlineStr" s="0">
        <is>
          <t>5203 - Papelería, útiles y suministros</t>
        </is>
      </c>
      <c r="F212" t="str" s="0">
        <f>IF(E212="","",IFERROR(VLOOKUP(E212,Config!$F$2:$G$60,2,FALSE),"Gasto"))</f>
        <v>Gasto</v>
      </c>
      <c r="G212" s="2">
        <v>455.9</v>
      </c>
      <c r="H212" s="2">
        <f>IF(G212="","",IF(IFERROR(VLOOKUP(E212,Config!$F$2:$H$60,3,FALSE),"Exento")="Afecto",ROUND(G212-(G212/1.12),2),0))</f>
        <v>48.85</v>
      </c>
      <c r="I212" s="2">
        <f>IF(G212="","",ROUND(G212-H212,2))</f>
        <v>407.05</v>
      </c>
      <c r="J212" t="inlineStr" s="0">
        <is>
          <t>BI- Monetaria</t>
        </is>
      </c>
      <c r="K212" s="3">
        <f>IF(G212="","",ROUND(K211+IF(J212="BI-Ahorro",0,IF(F212="Gasto",-G212,G212)),2))</f>
        <v>110833.3</v>
      </c>
      <c r="L212" s="2">
        <f>IF(G212="","",ROUND(L211+IF(LEFT(E212,4)="2102",G212,IF(J212="BI-Ahorro",-G212,0)),2))</f>
        <v>28194.49</v>
      </c>
      <c r="M212" t="inlineStr" s="0">
        <is>
          <t>BI-153363</t>
        </is>
      </c>
      <c r="N212" t="inlineStr" s="0">
        <is>
          <t>00-Administración</t>
        </is>
      </c>
      <c r="O212" t="inlineStr" s="0">
        <is>
          <t>Conciliado con extracto BI 27/07/2026</t>
        </is>
      </c>
    </row>
    <row r="213">
      <c r="A213" t="inlineStr" s="0">
        <is>
          <t>ALT-26-212</t>
        </is>
      </c>
      <c r="B213" t="inlineStr" s="0">
        <is>
          <t>2026-07-27</t>
        </is>
      </c>
      <c r="C213" t="inlineStr" s="0">
        <is>
          <t>julio</t>
        </is>
      </c>
      <c r="D213" t="inlineStr" s="0">
        <is>
          <t>Donación Fundación Waybi julio</t>
        </is>
      </c>
      <c r="E213" t="inlineStr" s="0">
        <is>
          <t>5208 - Donaciones</t>
        </is>
      </c>
      <c r="F213" t="str" s="0">
        <f>IF(E213="","",IFERROR(VLOOKUP(E213,Config!$F$2:$G$60,2,FALSE),"Gasto"))</f>
        <v>Gasto</v>
      </c>
      <c r="G213" s="2">
        <v>1700.0</v>
      </c>
      <c r="H213" s="2">
        <f>IF(G213="","",IF(IFERROR(VLOOKUP(E213,Config!$F$2:$H$60,3,FALSE),"Exento")="Afecto",ROUND(G213-(G213/1.12),2),0))</f>
        <v>182.14</v>
      </c>
      <c r="I213" s="2">
        <f>IF(G213="","",ROUND(G213-H213,2))</f>
        <v>1517.86</v>
      </c>
      <c r="J213" t="inlineStr" s="0">
        <is>
          <t>BI- Monetaria</t>
        </is>
      </c>
      <c r="K213" s="3">
        <f>IF(G213="","",ROUND(K212+IF(J213="BI-Ahorro",0,IF(F213="Gasto",-G213,G213)),2))</f>
        <v>109133.3</v>
      </c>
      <c r="L213" s="2">
        <f>IF(G213="","",ROUND(L212+IF(LEFT(E213,4)="2102",G213,IF(J213="BI-Ahorro",-G213,0)),2))</f>
        <v>28194.49</v>
      </c>
      <c r="M213" t="inlineStr" s="0">
        <is>
          <t>BI-171670</t>
        </is>
      </c>
      <c r="N213" t="inlineStr" s="0">
        <is>
          <t>00-Administración</t>
        </is>
      </c>
      <c r="O213" t="inlineStr" s="0">
        <is>
          <t>Conciliado con extracto BI 27/07/2026</t>
        </is>
      </c>
    </row>
    <row r="214">
      <c r="A214" t="inlineStr" s="0">
        <is>
          <t>ALT-26-213</t>
        </is>
      </c>
      <c r="B214" t="inlineStr" s="0">
        <is>
          <t>2026-07-27</t>
        </is>
      </c>
      <c r="C214" t="inlineStr" s="0">
        <is>
          <t>julio</t>
        </is>
      </c>
      <c r="D214" t="inlineStr" s="0">
        <is>
          <t>Compras actividad Día de la Familia (Adri)</t>
        </is>
      </c>
      <c r="E214" t="inlineStr" s="0">
        <is>
          <t>5205 - Actividades y excursiones</t>
        </is>
      </c>
      <c r="F214" t="str" s="0">
        <f>IF(E214="","",IFERROR(VLOOKUP(E214,Config!$F$2:$G$60,2,FALSE),"Gasto"))</f>
        <v>Gasto</v>
      </c>
      <c r="G214" s="2">
        <v>745.9</v>
      </c>
      <c r="H214" s="2">
        <f>IF(G214="","",IF(IFERROR(VLOOKUP(E214,Config!$F$2:$H$60,3,FALSE),"Exento")="Afecto",ROUND(G214-(G214/1.12),2),0))</f>
        <v>79.92</v>
      </c>
      <c r="I214" s="2">
        <f>IF(G214="","",ROUND(G214-H214,2))</f>
        <v>665.98</v>
      </c>
      <c r="J214" t="inlineStr" s="0">
        <is>
          <t>BI- Monetaria</t>
        </is>
      </c>
      <c r="K214" s="3">
        <f>IF(G214="","",ROUND(K213+IF(J214="BI-Ahorro",0,IF(F214="Gasto",-G214,G214)),2))</f>
        <v>108387.4</v>
      </c>
      <c r="L214" s="2">
        <f>IF(G214="","",ROUND(L213+IF(LEFT(E214,4)="2102",G214,IF(J214="BI-Ahorro",-G214,0)),2))</f>
        <v>28194.49</v>
      </c>
      <c r="M214" t="inlineStr" s="0">
        <is>
          <t>BI-187199</t>
        </is>
      </c>
      <c r="N214" t="inlineStr" s="0">
        <is>
          <t>00-Administración</t>
        </is>
      </c>
      <c r="O214" t="inlineStr" s="0">
        <is>
          <t>Conciliado con extracto BI 27/07/2026</t>
        </is>
      </c>
    </row>
    <row r="215">
      <c r="A215" t="inlineStr" s="0">
        <is>
          <t>ALT-26-214</t>
        </is>
      </c>
      <c r="B215" t="inlineStr" s="0">
        <is>
          <t>2026-07-27</t>
        </is>
      </c>
      <c r="C215" t="inlineStr" s="0">
        <is>
          <t>julio</t>
        </is>
      </c>
      <c r="D215" t="inlineStr" s="0">
        <is>
          <t>Pago sueldo julio Geovanna Velázquez</t>
        </is>
      </c>
      <c r="E215" t="inlineStr" s="0">
        <is>
          <t>5101 - Sueldos y Salarios</t>
        </is>
      </c>
      <c r="F215" t="str" s="0">
        <f>IF(E215="","",IFERROR(VLOOKUP(E215,Config!$F$2:$G$60,2,FALSE),"Gasto"))</f>
        <v>Gasto</v>
      </c>
      <c r="G215" s="2">
        <v>4234.78</v>
      </c>
      <c r="H215" s="2">
        <f>IF(G215="","",IF(IFERROR(VLOOKUP(E215,Config!$F$2:$H$60,3,FALSE),"Exento")="Afecto",ROUND(G215-(G215/1.12),2),0))</f>
        <v>0.0</v>
      </c>
      <c r="I215" s="2">
        <f>IF(G215="","",ROUND(G215-H215,2))</f>
        <v>4234.78</v>
      </c>
      <c r="J215" t="inlineStr" s="0">
        <is>
          <t>BI- Monetaria</t>
        </is>
      </c>
      <c r="K215" s="3">
        <f>IF(G215="","",ROUND(K214+IF(J215="BI-Ahorro",0,IF(F215="Gasto",-G215,G215)),2))</f>
        <v>104152.62</v>
      </c>
      <c r="L215" s="2">
        <f>IF(G215="","",ROUND(L214+IF(LEFT(E215,4)="2102",G215,IF(J215="BI-Ahorro",-G215,0)),2))</f>
        <v>28194.49</v>
      </c>
      <c r="M215" t="inlineStr" s="0">
        <is>
          <t>BI-208857</t>
        </is>
      </c>
      <c r="N215" t="inlineStr" s="0">
        <is>
          <t>00-Administración</t>
        </is>
      </c>
      <c r="O215" t="inlineStr" s="0">
        <is>
          <t>Conciliado con extracto BI 27/07/2026</t>
        </is>
      </c>
    </row>
    <row r="216">
      <c r="A216" t="inlineStr" s="0">
        <is>
          <t>ALT-26-215</t>
        </is>
      </c>
      <c r="B216" t="inlineStr" s="0">
        <is>
          <t>2026-07-27</t>
        </is>
      </c>
      <c r="C216" t="inlineStr" s="0">
        <is>
          <t>julio</t>
        </is>
      </c>
      <c r="D216" t="inlineStr" s="0">
        <is>
          <t>Pago sueldo julio Jessica Gudiel</t>
        </is>
      </c>
      <c r="E216" t="inlineStr" s="0">
        <is>
          <t>5101 - Sueldos y Salarios</t>
        </is>
      </c>
      <c r="F216" t="str" s="0">
        <f>IF(E216="","",IFERROR(VLOOKUP(E216,Config!$F$2:$G$60,2,FALSE),"Gasto"))</f>
        <v>Gasto</v>
      </c>
      <c r="G216" s="2">
        <v>5862.19</v>
      </c>
      <c r="H216" s="2">
        <f>IF(G216="","",IF(IFERROR(VLOOKUP(E216,Config!$F$2:$H$60,3,FALSE),"Exento")="Afecto",ROUND(G216-(G216/1.12),2),0))</f>
        <v>0.0</v>
      </c>
      <c r="I216" s="2">
        <f>IF(G216="","",ROUND(G216-H216,2))</f>
        <v>5862.19</v>
      </c>
      <c r="J216" t="inlineStr" s="0">
        <is>
          <t>BI- Monetaria</t>
        </is>
      </c>
      <c r="K216" s="3">
        <f>IF(G216="","",ROUND(K215+IF(J216="BI-Ahorro",0,IF(F216="Gasto",-G216,G216)),2))</f>
        <v>98290.43</v>
      </c>
      <c r="L216" s="2">
        <f>IF(G216="","",ROUND(L215+IF(LEFT(E216,4)="2102",G216,IF(J216="BI-Ahorro",-G216,0)),2))</f>
        <v>28194.49</v>
      </c>
      <c r="M216" t="inlineStr" s="0">
        <is>
          <t>BI-218374</t>
        </is>
      </c>
      <c r="N216" t="inlineStr" s="0">
        <is>
          <t>00-Administración</t>
        </is>
      </c>
      <c r="O216" t="inlineStr" s="0">
        <is>
          <t>Conciliado con extracto BI 27/07/2026</t>
        </is>
      </c>
    </row>
    <row r="217">
      <c r="A217" t="inlineStr" s="0">
        <is>
          <t>ALT-26-216</t>
        </is>
      </c>
      <c r="B217" t="inlineStr" s="0">
        <is>
          <t>2026-07-27</t>
        </is>
      </c>
      <c r="C217" t="inlineStr" s="0">
        <is>
          <t>julio</t>
        </is>
      </c>
      <c r="D217" t="inlineStr" s="0">
        <is>
          <t>Pago sueldo julio Suly Sajbochol</t>
        </is>
      </c>
      <c r="E217" t="inlineStr" s="0">
        <is>
          <t>5101 - Sueldos y Salarios</t>
        </is>
      </c>
      <c r="F217" t="str" s="0">
        <f>IF(E217="","",IFERROR(VLOOKUP(E217,Config!$F$2:$G$60,2,FALSE),"Gasto"))</f>
        <v>Gasto</v>
      </c>
      <c r="G217" s="2">
        <v>4234.78</v>
      </c>
      <c r="H217" s="2">
        <f>IF(G217="","",IF(IFERROR(VLOOKUP(E217,Config!$F$2:$H$60,3,FALSE),"Exento")="Afecto",ROUND(G217-(G217/1.12),2),0))</f>
        <v>0.0</v>
      </c>
      <c r="I217" s="2">
        <f>IF(G217="","",ROUND(G217-H217,2))</f>
        <v>4234.78</v>
      </c>
      <c r="J217" t="inlineStr" s="0">
        <is>
          <t>BI- Monetaria</t>
        </is>
      </c>
      <c r="K217" s="3">
        <f>IF(G217="","",ROUND(K216+IF(J217="BI-Ahorro",0,IF(F217="Gasto",-G217,G217)),2))</f>
        <v>94055.65</v>
      </c>
      <c r="L217" s="2">
        <f>IF(G217="","",ROUND(L216+IF(LEFT(E217,4)="2102",G217,IF(J217="BI-Ahorro",-G217,0)),2))</f>
        <v>28194.49</v>
      </c>
      <c r="M217" t="inlineStr" s="0">
        <is>
          <t>BI-224767</t>
        </is>
      </c>
      <c r="N217" t="inlineStr" s="0">
        <is>
          <t>00-Administración</t>
        </is>
      </c>
      <c r="O217" t="inlineStr" s="0">
        <is>
          <t>Conciliado con extracto BI 27/07/2026</t>
        </is>
      </c>
    </row>
    <row r="218">
      <c r="A218" t="inlineStr" s="0">
        <is>
          <t>ALT-26-217</t>
        </is>
      </c>
      <c r="B218" t="inlineStr" s="0">
        <is>
          <t>2026-07-27</t>
        </is>
      </c>
      <c r="C218" t="inlineStr" s="0">
        <is>
          <t>julio</t>
        </is>
      </c>
      <c r="D218" t="inlineStr" s="0">
        <is>
          <t>Pago sueldo julio Melissa Peña</t>
        </is>
      </c>
      <c r="E218" t="inlineStr" s="0">
        <is>
          <t>5101 - Sueldos y Salarios</t>
        </is>
      </c>
      <c r="F218" t="str" s="0">
        <f>IF(E218="","",IFERROR(VLOOKUP(E218,Config!$F$2:$G$60,2,FALSE),"Gasto"))</f>
        <v>Gasto</v>
      </c>
      <c r="G218" s="2">
        <v>4234.78</v>
      </c>
      <c r="H218" s="2">
        <f>IF(G218="","",IF(IFERROR(VLOOKUP(E218,Config!$F$2:$H$60,3,FALSE),"Exento")="Afecto",ROUND(G218-(G218/1.12),2),0))</f>
        <v>0.0</v>
      </c>
      <c r="I218" s="2">
        <f>IF(G218="","",ROUND(G218-H218,2))</f>
        <v>4234.78</v>
      </c>
      <c r="J218" t="inlineStr" s="0">
        <is>
          <t>BI- Monetaria</t>
        </is>
      </c>
      <c r="K218" s="3">
        <f>IF(G218="","",ROUND(K217+IF(J218="BI-Ahorro",0,IF(F218="Gasto",-G218,G218)),2))</f>
        <v>89820.87</v>
      </c>
      <c r="L218" s="2">
        <f>IF(G218="","",ROUND(L217+IF(LEFT(E218,4)="2102",G218,IF(J218="BI-Ahorro",-G218,0)),2))</f>
        <v>28194.49</v>
      </c>
      <c r="M218" t="inlineStr" s="0">
        <is>
          <t>BI-238411</t>
        </is>
      </c>
      <c r="N218" t="inlineStr" s="0">
        <is>
          <t>00-Administración</t>
        </is>
      </c>
      <c r="O218" t="inlineStr" s="0">
        <is>
          <t>Conciliado con extracto BI 27/07/2026</t>
        </is>
      </c>
    </row>
    <row r="219">
      <c r="A219" t="inlineStr" s="0">
        <is>
          <t>ALT-26-218</t>
        </is>
      </c>
      <c r="B219" t="inlineStr" s="0">
        <is>
          <t>2026-07-27</t>
        </is>
      </c>
      <c r="C219" t="inlineStr" s="0">
        <is>
          <t>julio</t>
        </is>
      </c>
      <c r="D219" t="inlineStr" s="0">
        <is>
          <t>Pago marketing y publicidad julio (Raúl)</t>
        </is>
      </c>
      <c r="E219" t="inlineStr" s="0">
        <is>
          <t>5204 - Marketing y Publicidad</t>
        </is>
      </c>
      <c r="F219" t="str" s="0">
        <f>IF(E219="","",IFERROR(VLOOKUP(E219,Config!$F$2:$G$60,2,FALSE),"Gasto"))</f>
        <v>Gasto</v>
      </c>
      <c r="G219" s="2">
        <v>500.0</v>
      </c>
      <c r="H219" s="2">
        <f>IF(G219="","",IF(IFERROR(VLOOKUP(E219,Config!$F$2:$H$60,3,FALSE),"Exento")="Afecto",ROUND(G219-(G219/1.12),2),0))</f>
        <v>53.57</v>
      </c>
      <c r="I219" s="2">
        <f>IF(G219="","",ROUND(G219-H219,2))</f>
        <v>446.43</v>
      </c>
      <c r="J219" t="inlineStr" s="0">
        <is>
          <t>BI- Monetaria</t>
        </is>
      </c>
      <c r="K219" s="3">
        <f>IF(G219="","",ROUND(K218+IF(J219="BI-Ahorro",0,IF(F219="Gasto",-G219,G219)),2))</f>
        <v>89320.87</v>
      </c>
      <c r="L219" s="2">
        <f>IF(G219="","",ROUND(L218+IF(LEFT(E219,4)="2102",G219,IF(J219="BI-Ahorro",-G219,0)),2))</f>
        <v>28194.49</v>
      </c>
      <c r="M219" t="inlineStr" s="0">
        <is>
          <t>BI-248172</t>
        </is>
      </c>
      <c r="N219" t="inlineStr" s="0">
        <is>
          <t>00-Administración</t>
        </is>
      </c>
      <c r="O219" t="inlineStr" s="0">
        <is>
          <t>Conciliado con extracto BI 27/07/2026 (Reclasificado a 5204)</t>
        </is>
      </c>
    </row>
    <row r="220">
      <c r="A220" t="inlineStr" s="0">
        <is>
          <t>ALT-26-219</t>
        </is>
      </c>
      <c r="B220" t="inlineStr" s="0">
        <is>
          <t>2026-07-27</t>
        </is>
      </c>
      <c r="C220" t="inlineStr" s="0">
        <is>
          <t>julio</t>
        </is>
      </c>
      <c r="D220" t="inlineStr" s="0">
        <is>
          <t>Pago sueldo julio Lucía Montes</t>
        </is>
      </c>
      <c r="E220" t="inlineStr" s="0">
        <is>
          <t>5101 - Sueldos y Salarios</t>
        </is>
      </c>
      <c r="F220" t="str" s="0">
        <f>IF(E220="","",IFERROR(VLOOKUP(E220,Config!$F$2:$G$60,2,FALSE),"Gasto"))</f>
        <v>Gasto</v>
      </c>
      <c r="G220" s="2">
        <v>8574.54</v>
      </c>
      <c r="H220" s="2">
        <f>IF(G220="","",IF(IFERROR(VLOOKUP(E220,Config!$F$2:$H$60,3,FALSE),"Exento")="Afecto",ROUND(G220-(G220/1.12),2),0))</f>
        <v>0.0</v>
      </c>
      <c r="I220" s="2">
        <f>IF(G220="","",ROUND(G220-H220,2))</f>
        <v>8574.54</v>
      </c>
      <c r="J220" t="inlineStr" s="0">
        <is>
          <t>BI- Monetaria</t>
        </is>
      </c>
      <c r="K220" s="3">
        <f>IF(G220="","",ROUND(K219+IF(J220="BI-Ahorro",0,IF(F220="Gasto",-G220,G220)),2))</f>
        <v>80746.33</v>
      </c>
      <c r="L220" s="2">
        <f>IF(G220="","",ROUND(L219+IF(LEFT(E220,4)="2102",G220,IF(J220="BI-Ahorro",-G220,0)),2))</f>
        <v>28194.49</v>
      </c>
      <c r="M220" t="inlineStr" s="0">
        <is>
          <t>BI-27147142</t>
        </is>
      </c>
      <c r="N220" t="inlineStr" s="0">
        <is>
          <t>00-Administración</t>
        </is>
      </c>
      <c r="O220" t="inlineStr" s="0">
        <is>
          <t>Conciliado con extracto BI 27/07/2026</t>
        </is>
      </c>
    </row>
    <row r="221">
      <c r="A221" t="inlineStr" s="0">
        <is>
          <t>ALT-26-220</t>
        </is>
      </c>
      <c r="B221" t="inlineStr" s="0">
        <is>
          <t>2026-07-27</t>
        </is>
      </c>
      <c r="C221" t="inlineStr" s="0">
        <is>
          <t>julio</t>
        </is>
      </c>
      <c r="D221" t="inlineStr" s="0">
        <is>
          <t>Provisiones laborales julio (Traslado a BI-Ahorro)</t>
        </is>
      </c>
      <c r="E221" t="inlineStr" s="0">
        <is>
          <t>2102 - Provisiones Laborales</t>
        </is>
      </c>
      <c r="F221" t="str" s="0">
        <f>IF(E221="","",IFERROR(VLOOKUP(E221,Config!$F$2:$G$60,2,FALSE),"Gasto"))</f>
        <v>Gasto</v>
      </c>
      <c r="G221" s="2">
        <v>11551.09</v>
      </c>
      <c r="H221" s="2">
        <f>IF(G221="","",IF(IFERROR(VLOOKUP(E221,Config!$F$2:$H$60,3,FALSE),"Exento")="Afecto",ROUND(G221-(G221/1.12),2),0))</f>
        <v>0.0</v>
      </c>
      <c r="I221" s="2">
        <f>IF(G221="","",ROUND(G221-H221,2))</f>
        <v>11551.09</v>
      </c>
      <c r="J221" t="inlineStr" s="0">
        <is>
          <t>BI- Monetaria</t>
        </is>
      </c>
      <c r="K221" s="3">
        <f>IF(G221="","",ROUND(K220+IF(J221="BI-Ahorro",0,IF(F221="Gasto",-G221,G221)),2))</f>
        <v>69195.24</v>
      </c>
      <c r="L221" s="2">
        <f>IF(G221="","",ROUND(L220+IF(LEFT(E221,4)="2102",G221,IF(J221="BI-Ahorro",-G221,0)),2))</f>
        <v>39745.58</v>
      </c>
      <c r="M221" t="inlineStr" s="0">
        <is>
          <t>BI-27154154</t>
        </is>
      </c>
      <c r="N221" t="inlineStr" s="0">
        <is>
          <t>00-Administración</t>
        </is>
      </c>
      <c r="O221" t="inlineStr" s="0">
        <is>
          <t>Conciliado con extracto BI 27/07/2026</t>
        </is>
      </c>
    </row>
    <row r="222">
      <c r="A222" t="inlineStr" s="0">
        <is>
          <t>ALT-26-221</t>
        </is>
      </c>
      <c r="B222" t="inlineStr" s="0">
        <is>
          <t>2026-07-27</t>
        </is>
      </c>
      <c r="C222" t="inlineStr" s="0">
        <is>
          <t>julio</t>
        </is>
      </c>
      <c r="D222" t="inlineStr" s="0">
        <is>
          <t>Pago contabilidad julio Sergio contador</t>
        </is>
      </c>
      <c r="E222" t="inlineStr" s="0">
        <is>
          <t>5209 - Honorarios profesionales</t>
        </is>
      </c>
      <c r="F222" t="str" s="0">
        <f>IF(E222="","",IFERROR(VLOOKUP(E222,Config!$F$2:$G$60,2,FALSE),"Gasto"))</f>
        <v>Gasto</v>
      </c>
      <c r="G222" s="2">
        <v>350.0</v>
      </c>
      <c r="H222" s="2">
        <f>IF(G222="","",IF(IFERROR(VLOOKUP(E222,Config!$F$2:$H$60,3,FALSE),"Exento")="Afecto",ROUND(G222-(G222/1.12),2),0))</f>
        <v>37.5</v>
      </c>
      <c r="I222" s="2">
        <f>IF(G222="","",ROUND(G222-H222,2))</f>
        <v>312.5</v>
      </c>
      <c r="J222" t="inlineStr" s="0">
        <is>
          <t>BI- Monetaria</t>
        </is>
      </c>
      <c r="K222" s="3">
        <f>IF(G222="","",ROUND(K221+IF(J222="BI-Ahorro",0,IF(F222="Gasto",-G222,G222)),2))</f>
        <v>68845.24</v>
      </c>
      <c r="L222" s="2">
        <f>IF(G222="","",ROUND(L221+IF(LEFT(E222,4)="2102",G222,IF(J222="BI-Ahorro",-G222,0)),2))</f>
        <v>39745.58</v>
      </c>
      <c r="M222" t="inlineStr" s="0">
        <is>
          <t>BI-27171362</t>
        </is>
      </c>
      <c r="N222" t="inlineStr" s="0">
        <is>
          <t>00-Administración</t>
        </is>
      </c>
      <c r="O222" t="inlineStr" s="0">
        <is>
          <t>Conciliado con extracto BI 27/07/2026</t>
        </is>
      </c>
    </row>
    <row r="223">
      <c r="A223" t="inlineStr" s="0">
        <is>
          <t>ALT-26-222</t>
        </is>
      </c>
      <c r="B223" t="inlineStr" s="0">
        <is>
          <t>2026-07-27</t>
        </is>
      </c>
      <c r="C223" t="inlineStr" s="0">
        <is>
          <t>julio</t>
        </is>
      </c>
      <c r="D223" t="inlineStr" s="0">
        <is>
          <t>Pago servicios agencia publicidad Nauta Estudio</t>
        </is>
      </c>
      <c r="E223" t="inlineStr" s="0">
        <is>
          <t>5204 - Marketing y Publicidad</t>
        </is>
      </c>
      <c r="F223" t="str" s="0">
        <f>IF(E223="","",IFERROR(VLOOKUP(E223,Config!$F$2:$G$60,2,FALSE),"Gasto"))</f>
        <v>Gasto</v>
      </c>
      <c r="G223" s="2">
        <v>2050.0</v>
      </c>
      <c r="H223" s="2">
        <f>IF(G223="","",IF(IFERROR(VLOOKUP(E223,Config!$F$2:$H$60,3,FALSE),"Exento")="Afecto",ROUND(G223-(G223/1.12),2),0))</f>
        <v>219.64</v>
      </c>
      <c r="I223" s="2">
        <f>IF(G223="","",ROUND(G223-H223,2))</f>
        <v>1830.36</v>
      </c>
      <c r="J223" t="inlineStr" s="0">
        <is>
          <t>BI- Monetaria</t>
        </is>
      </c>
      <c r="K223" s="3">
        <f>IF(G223="","",ROUND(K222+IF(J223="BI-Ahorro",0,IF(F223="Gasto",-G223,G223)),2))</f>
        <v>66795.24</v>
      </c>
      <c r="L223" s="2">
        <f>IF(G223="","",ROUND(L222+IF(LEFT(E223,4)="2102",G223,IF(J223="BI-Ahorro",-G223,0)),2))</f>
        <v>39745.58</v>
      </c>
      <c r="M223" t="inlineStr" s="0">
        <is>
          <t>BI-27216715</t>
        </is>
      </c>
      <c r="N223" t="inlineStr" s="0">
        <is>
          <t>00-Administración</t>
        </is>
      </c>
      <c r="O223" t="inlineStr" s="0">
        <is>
          <t>Conciliado con extracto BI 27/07/2026 (Reclasificado a 5204)</t>
        </is>
      </c>
    </row>
    <row r="224">
      <c r="A224" t="inlineStr" s="0">
        <is>
          <t>ALT-26-223</t>
        </is>
      </c>
      <c r="B224" t="inlineStr" s="0">
        <is>
          <t>2026-07-27</t>
        </is>
      </c>
      <c r="C224" t="inlineStr" s="0">
        <is>
          <t>julio</t>
        </is>
      </c>
      <c r="D224" t="inlineStr" s="0">
        <is>
          <t>Pago celular ALTUS julio</t>
        </is>
      </c>
      <c r="E224" t="inlineStr" s="0">
        <is>
          <t>5212 - Telecomunicaciones e internet</t>
        </is>
      </c>
      <c r="F224" t="str" s="0">
        <f>IF(E224="","",IFERROR(VLOOKUP(E224,Config!$F$2:$G$60,2,FALSE),"Gasto"))</f>
        <v>Gasto</v>
      </c>
      <c r="G224" s="2">
        <v>285.0</v>
      </c>
      <c r="H224" s="2">
        <f>IF(G224="","",IF(IFERROR(VLOOKUP(E224,Config!$F$2:$H$60,3,FALSE),"Exento")="Afecto",ROUND(G224-(G224/1.12),2),0))</f>
        <v>30.54</v>
      </c>
      <c r="I224" s="2">
        <f>IF(G224="","",ROUND(G224-H224,2))</f>
        <v>254.46</v>
      </c>
      <c r="J224" t="inlineStr" s="0">
        <is>
          <t>BI- Monetaria</t>
        </is>
      </c>
      <c r="K224" s="3">
        <f>IF(G224="","",ROUND(K223+IF(J224="BI-Ahorro",0,IF(F224="Gasto",-G224,G224)),2))</f>
        <v>66510.24</v>
      </c>
      <c r="L224" s="2">
        <f>IF(G224="","",ROUND(L223+IF(LEFT(E224,4)="2102",G224,IF(J224="BI-Ahorro",-G224,0)),2))</f>
        <v>39745.58</v>
      </c>
      <c r="M224" t="inlineStr" s="0">
        <is>
          <t>BI-27244399</t>
        </is>
      </c>
      <c r="N224" t="inlineStr" s="0">
        <is>
          <t>00-Administración</t>
        </is>
      </c>
      <c r="O224" t="inlineStr" s="0">
        <is>
          <t>Conciliado con extracto BI 27/07/2026</t>
        </is>
      </c>
    </row>
    <row r="225">
      <c r="A225" t="inlineStr" s="0">
        <is>
          <t>ALT-26-224</t>
        </is>
      </c>
      <c r="B225" t="inlineStr" s="0">
        <is>
          <t>2026-07-27</t>
        </is>
      </c>
      <c r="C225" t="inlineStr" s="0">
        <is>
          <t>julio</t>
        </is>
      </c>
      <c r="D225" t="inlineStr" s="0">
        <is>
          <t>Pago ISR Retenciones julio</t>
        </is>
      </c>
      <c r="E225" t="inlineStr" s="0">
        <is>
          <t>2105 - ISR Retenciones por Pagar</t>
        </is>
      </c>
      <c r="F225" t="str" s="0">
        <f>IF(E225="","",IFERROR(VLOOKUP(E225,Config!$F$2:$G$60,2,FALSE),"Gasto"))</f>
        <v>Gasto</v>
      </c>
      <c r="G225" s="2">
        <v>375.85</v>
      </c>
      <c r="H225" s="2">
        <f>IF(G225="","",IF(IFERROR(VLOOKUP(E225,Config!$F$2:$H$60,3,FALSE),"Exento")="Afecto",ROUND(G225-(G225/1.12),2),0))</f>
        <v>0.0</v>
      </c>
      <c r="I225" s="2">
        <f>IF(G225="","",ROUND(G225-H225,2))</f>
        <v>375.85</v>
      </c>
      <c r="J225" t="inlineStr" s="0">
        <is>
          <t>BI- Monetaria</t>
        </is>
      </c>
      <c r="K225" s="3">
        <f>IF(G225="","",ROUND(K224+IF(J225="BI-Ahorro",0,IF(F225="Gasto",-G225,G225)),2))</f>
        <v>66134.39</v>
      </c>
      <c r="L225" s="2">
        <f>IF(G225="","",ROUND(L224+IF(LEFT(E225,4)="2102",G225,IF(J225="BI-Ahorro",-G225,0)),2))</f>
        <v>39745.58</v>
      </c>
      <c r="M225" t="inlineStr" s="0">
        <is>
          <t>BI-27249346</t>
        </is>
      </c>
      <c r="N225" t="inlineStr" s="0">
        <is>
          <t>00-Administración</t>
        </is>
      </c>
      <c r="O225" t="inlineStr" s="0">
        <is>
          <t>Conciliado con extracto BI 27/07/2026</t>
        </is>
      </c>
    </row>
    <row r="226">
      <c r="A226" t="inlineStr" s="0">
        <is>
          <t>ALT-26-225</t>
        </is>
      </c>
      <c r="B226" t="inlineStr" s="0">
        <is>
          <t>2026-07-28</t>
        </is>
      </c>
      <c r="C226" t="inlineStr" s="0">
        <is>
          <t>julio</t>
        </is>
      </c>
      <c r="D226" t="inlineStr" s="0">
        <is>
          <t>Donación recibida (ACH Fredy Roberto Bolaños / Sarah Farr)</t>
        </is>
      </c>
      <c r="E226" t="inlineStr" s="0">
        <is>
          <t>4203 - Donaciones recibidas</t>
        </is>
      </c>
      <c r="F226" t="str" s="0">
        <f>IF(E226="","",IFERROR(VLOOKUP(E226,Config!$F$2:$G$60,2,FALSE),"Gasto"))</f>
        <v>Ingreso</v>
      </c>
      <c r="G226" s="2">
        <v>12500.0</v>
      </c>
      <c r="H226" s="2">
        <f>IF(G226="","",IF(IFERROR(VLOOKUP(E226,Config!$F$2:$H$60,3,FALSE),"Exento")="Afecto",ROUND(G226-(G226/1.12),2),0))</f>
        <v>0.0</v>
      </c>
      <c r="I226" s="2">
        <f>IF(G226="","",ROUND(G226-H226,2))</f>
        <v>12500.0</v>
      </c>
      <c r="J226" t="inlineStr" s="0">
        <is>
          <t>BI- Monetaria</t>
        </is>
      </c>
      <c r="K226" s="3">
        <f>IF(G226="","",ROUND(K225+IF(J226="BI-Ahorro",0,IF(F226="Gasto",-G226,G226)),2))</f>
        <v>78634.39</v>
      </c>
      <c r="L226" s="2">
        <f>IF(G226="","",ROUND(L225+IF(LEFT(E226,4)="2102",G226,IF(J226="BI-Ahorro",-G226,0)),2))</f>
        <v>39745.58</v>
      </c>
      <c r="M226" t="inlineStr" s="0">
        <is>
          <t>BI-221740</t>
        </is>
      </c>
      <c r="N226" t="inlineStr" s="0">
        <is>
          <t>00-Administración</t>
        </is>
      </c>
      <c r="O226" t="inlineStr" s="0">
        <is>
          <t>Conciliado con extracto BI 28/07/2026</t>
        </is>
      </c>
    </row>
    <row r="227">
      <c r="A227" t="inlineStr" s="0">
        <is>
          <t>ALT-26-226</t>
        </is>
      </c>
      <c r="B227" t="inlineStr" s="0">
        <is>
          <t>2026-07-29</t>
        </is>
      </c>
      <c r="C227" t="inlineStr" s="0">
        <is>
          <t>julio</t>
        </is>
      </c>
      <c r="D227" t="inlineStr" s="0">
        <is>
          <t>Cobro anticipo 6/6 inscripción Günther Márquez</t>
        </is>
      </c>
      <c r="E227" t="inlineStr" s="0">
        <is>
          <t>4101 - Inscripciones</t>
        </is>
      </c>
      <c r="F227" t="str" s="0">
        <f>IF(E227="","",IFERROR(VLOOKUP(E227,Config!$F$2:$G$60,2,FALSE),"Gasto"))</f>
        <v>Ingreso</v>
      </c>
      <c r="G227" s="2">
        <v>1716.7</v>
      </c>
      <c r="H227" s="2">
        <f>IF(G227="","",IF(IFERROR(VLOOKUP(E227,Config!$F$2:$H$60,3,FALSE),"Exento")="Afecto",ROUND(G227-(G227/1.12),2),0))</f>
        <v>0.0</v>
      </c>
      <c r="I227" s="2">
        <f>IF(G227="","",ROUND(G227-H227,2))</f>
        <v>1716.7</v>
      </c>
      <c r="J227" t="inlineStr" s="0">
        <is>
          <t>BI- Monetaria</t>
        </is>
      </c>
      <c r="K227" s="3">
        <f>IF(G227="","",ROUND(K226+IF(J227="BI-Ahorro",0,IF(F227="Gasto",-G227,G227)),2))</f>
        <v>80351.09</v>
      </c>
      <c r="L227" s="2">
        <f>IF(G227="","",ROUND(L226+IF(LEFT(E227,4)="2102",G227,IF(J227="BI-Ahorro",-G227,0)),2))</f>
        <v>39745.58</v>
      </c>
      <c r="M227" t="inlineStr" s="0">
        <is>
          <t>BI-179331-A</t>
        </is>
      </c>
      <c r="N227" t="inlineStr" s="0">
        <is>
          <t>01-Pre-Primaria / 02-Primaria</t>
        </is>
      </c>
      <c r="O227" t="inlineStr" s="0">
        <is>
          <t>Parte de ACH Valeria Márquez Q3,301.68</t>
        </is>
      </c>
    </row>
    <row r="228">
      <c r="A228" t="inlineStr" s="0">
        <is>
          <t>ALT-26-227</t>
        </is>
      </c>
      <c r="B228" t="inlineStr" s="0">
        <is>
          <t>2026-07-29</t>
        </is>
      </c>
      <c r="C228" t="inlineStr" s="0">
        <is>
          <t>julio</t>
        </is>
      </c>
      <c r="D228" t="inlineStr" s="0">
        <is>
          <t>Cobro mensualidad 2/2 junio Günther Márquez</t>
        </is>
      </c>
      <c r="E228" t="inlineStr" s="0">
        <is>
          <t>4102 - Colegiaturas Mensuales</t>
        </is>
      </c>
      <c r="F228" t="str" s="0">
        <f>IF(E228="","",IFERROR(VLOOKUP(E228,Config!$F$2:$G$60,2,FALSE),"Gasto"))</f>
        <v>Ingreso</v>
      </c>
      <c r="G228" s="2">
        <v>1584.98</v>
      </c>
      <c r="H228" s="2">
        <f>IF(G228="","",IF(IFERROR(VLOOKUP(E228,Config!$F$2:$H$60,3,FALSE),"Exento")="Afecto",ROUND(G228-(G228/1.12),2),0))</f>
        <v>0.0</v>
      </c>
      <c r="I228" s="2">
        <f>IF(G228="","",ROUND(G228-H228,2))</f>
        <v>1584.98</v>
      </c>
      <c r="J228" t="inlineStr" s="0">
        <is>
          <t>BI- Monetaria</t>
        </is>
      </c>
      <c r="K228" s="3">
        <f>IF(G228="","",ROUND(K227+IF(J228="BI-Ahorro",0,IF(F228="Gasto",-G228,G228)),2))</f>
        <v>81936.07</v>
      </c>
      <c r="L228" s="2">
        <f>IF(G228="","",ROUND(L227+IF(LEFT(E228,4)="2102",G228,IF(J228="BI-Ahorro",-G228,0)),2))</f>
        <v>39745.58</v>
      </c>
      <c r="M228" t="inlineStr" s="0">
        <is>
          <t>BI-179331-B</t>
        </is>
      </c>
      <c r="N228" t="inlineStr" s="0">
        <is>
          <t>01-Pre-Primaria / 02-Primaria</t>
        </is>
      </c>
      <c r="O228" t="inlineStr" s="0">
        <is>
          <t>Ajustado a Q1,584.98 (1716.70 + 1584.98 = Q3,301.68 exactos según Docto 179331; se eliminó fila duplicada 226 de Q3,301.69)</t>
        </is>
      </c>
    </row>
    <row r="229">
      <c r="A229" t="inlineStr" s="0">
        <is>
          <t>ALT-26-228</t>
        </is>
      </c>
      <c r="B229" t="inlineStr" s="0">
        <is>
          <t>2026-07-30</t>
        </is>
      </c>
      <c r="C229" t="inlineStr" s="0">
        <is>
          <t>julio</t>
        </is>
      </c>
      <c r="D229" t="inlineStr" s="0">
        <is>
          <t>Anticipo 1/3 instalación de cámaras</t>
        </is>
      </c>
      <c r="E229" t="inlineStr" s="0">
        <is>
          <t>1501 - Mobiliario y Equipo</t>
        </is>
      </c>
      <c r="F229" t="str" s="0">
        <f>IF(E229="","",IFERROR(VLOOKUP(E229,Config!$F$2:$G$60,2,FALSE),"Gasto"))</f>
        <v>Gasto</v>
      </c>
      <c r="G229" s="2">
        <v>7680.0</v>
      </c>
      <c r="H229" s="2">
        <f>IF(G229="","",IF(IFERROR(VLOOKUP(E229,Config!$F$2:$H$60,3,FALSE),"Exento")="Afecto",ROUND(G229-(G229/1.12),2),0))</f>
        <v>822.86</v>
      </c>
      <c r="I229" s="2">
        <f>IF(G229="","",ROUND(G229-H229,2))</f>
        <v>6857.14</v>
      </c>
      <c r="J229" t="inlineStr" s="0">
        <is>
          <t>BI- Monetaria</t>
        </is>
      </c>
      <c r="K229" s="3">
        <f>IF(G229="","",ROUND(K228+IF(J229="BI-Ahorro",0,IF(F229="Gasto",-G229,G229)),2))</f>
        <v>74256.07</v>
      </c>
      <c r="L229" s="2">
        <f>IF(G229="","",ROUND(L228+IF(LEFT(E229,4)="2102",G229,IF(J229="BI-Ahorro",-G229,0)),2))</f>
        <v>39745.58</v>
      </c>
      <c r="M229" t="inlineStr" s="0">
        <is>
          <t>BI-30187818</t>
        </is>
      </c>
      <c r="N229" t="inlineStr" s="0">
        <is>
          <t>00-Administración</t>
        </is>
      </c>
      <c r="O229" t="inlineStr" s="0">
        <is>
          <t>Conciliado con extracto BI 30/07/2026</t>
        </is>
      </c>
    </row>
    <row r="230">
      <c r="A230" t="inlineStr" s="0">
        <is>
          <t>ALT-26-229</t>
        </is>
      </c>
      <c r="B230" t="inlineStr" s="0">
        <is>
          <t>2026-08-01</t>
        </is>
      </c>
      <c r="C230" t="inlineStr" s="0">
        <is>
          <t>agosto</t>
        </is>
      </c>
      <c r="D230" t="inlineStr" s="0">
        <is>
          <t>Débito BiCheque comisión manejo de cuenta agosto</t>
        </is>
      </c>
      <c r="E230" t="inlineStr" s="0">
        <is>
          <t>5210 - Impuestos, tasas y arbitrios</t>
        </is>
      </c>
      <c r="F230" t="str" s="0">
        <f>IF(E230="","",IFERROR(VLOOKUP(E230,Config!$F$2:$G$60,2,FALSE),"Gasto"))</f>
        <v>Gasto</v>
      </c>
      <c r="G230" s="2">
        <v>15.0</v>
      </c>
      <c r="H230" s="2">
        <f>IF(G230="","",IF(IFERROR(VLOOKUP(E230,Config!$F$2:$H$60,3,FALSE),"Exento")="Afecto",ROUND(G230-(G230/1.12),2),0))</f>
        <v>0.0</v>
      </c>
      <c r="I230" s="2">
        <f>IF(G230="","",ROUND(G230-H230,2))</f>
        <v>15.0</v>
      </c>
      <c r="J230" t="inlineStr" s="0">
        <is>
          <t>BI- Monetaria</t>
        </is>
      </c>
      <c r="K230" s="3">
        <f>IF(G230="","",ROUND(K229+IF(J230="BI-Ahorro",0,IF(F230="Gasto",-G230,G230)),2))</f>
        <v>74241.07</v>
      </c>
      <c r="L230" s="2">
        <f>IF(G230="","",ROUND(L229+IF(LEFT(E230,4)="2102",G230,IF(J230="BI-Ahorro",-G230,0)),2))</f>
        <v>39745.58</v>
      </c>
      <c r="M230" t="inlineStr" s="0">
        <is>
          <t>BI-310867</t>
        </is>
      </c>
      <c r="N230" t="inlineStr" s="0">
        <is>
          <t>00-Administración</t>
        </is>
      </c>
      <c r="O230" t="inlineStr" s="0">
        <is>
          <t>Agregado según extracto BI 01/08/2026 (DEBITO BICHEQUE)</t>
        </is>
      </c>
    </row>
    <row r="231">
      <c r="A231" t="inlineStr" s="0">
        <is>
          <t>ALT-26-230</t>
        </is>
      </c>
      <c r="B231" t="inlineStr" s="0">
        <is>
          <t>2026-08-03</t>
        </is>
      </c>
      <c r="C231" t="inlineStr" s="0">
        <is>
          <t>agosto</t>
        </is>
      </c>
      <c r="D231" t="inlineStr" s="0">
        <is>
          <t>Cobro mensualidad julio Rodrigo Gallinsa</t>
        </is>
      </c>
      <c r="E231" t="inlineStr" s="0">
        <is>
          <t>4102 - Colegiaturas Mensuales</t>
        </is>
      </c>
      <c r="F231" t="str" s="0">
        <f>IF(E231="","",IFERROR(VLOOKUP(E231,Config!$F$2:$G$60,2,FALSE),"Gasto"))</f>
        <v>Ingreso</v>
      </c>
      <c r="G231" s="2">
        <v>6300.0</v>
      </c>
      <c r="H231" s="2">
        <f>IF(G231="","",IF(IFERROR(VLOOKUP(E231,Config!$F$2:$H$60,3,FALSE),"Exento")="Afecto",ROUND(G231-(G231/1.12),2),0))</f>
        <v>0.0</v>
      </c>
      <c r="I231" s="2">
        <f>IF(G231="","",ROUND(G231-H231,2))</f>
        <v>6300.0</v>
      </c>
      <c r="J231" t="inlineStr" s="0">
        <is>
          <t>BI- Monetaria</t>
        </is>
      </c>
      <c r="K231" s="3">
        <f>IF(G231="","",ROUND(K230+IF(J231="BI-Ahorro",0,IF(F231="Gasto",-G231,G231)),2))</f>
        <v>80541.07</v>
      </c>
      <c r="L231" s="2">
        <f>IF(G231="","",ROUND(L230+IF(LEFT(E231,4)="2102",G231,IF(J231="BI-Ahorro",-G231,0)),2))</f>
        <v>39745.58</v>
      </c>
      <c r="M231" t="inlineStr" s="0">
        <is>
          <t>BI-3100903</t>
        </is>
      </c>
      <c r="N231" t="inlineStr" s="0">
        <is>
          <t>01-Pre-Primaria / 02-Primaria</t>
        </is>
      </c>
      <c r="O231" t="inlineStr" s="0">
        <is>
          <t>Conciliado con extracto BI 03/08/2026</t>
        </is>
      </c>
    </row>
    <row r="232">
      <c r="A232" t="inlineStr" s="0">
        <is>
          <t>ALT-26-231</t>
        </is>
      </c>
      <c r="B232" t="inlineStr" s="0">
        <is>
          <t>2026-08-03</t>
        </is>
      </c>
      <c r="C232" t="inlineStr" s="0">
        <is>
          <t>agosto</t>
        </is>
      </c>
      <c r="D232" t="inlineStr" s="0">
        <is>
          <t>Cobro mensualidad agosto Gabriel Ruíz</t>
        </is>
      </c>
      <c r="E232" t="inlineStr" s="0">
        <is>
          <t>4102 - Colegiaturas Mensuales</t>
        </is>
      </c>
      <c r="F232" t="str" s="0">
        <f>IF(E232="","",IFERROR(VLOOKUP(E232,Config!$F$2:$G$60,2,FALSE),"Gasto"))</f>
        <v>Ingreso</v>
      </c>
      <c r="G232" s="2">
        <v>9300.0</v>
      </c>
      <c r="H232" s="2">
        <f>IF(G232="","",IF(IFERROR(VLOOKUP(E232,Config!$F$2:$H$60,3,FALSE),"Exento")="Afecto",ROUND(G232-(G232/1.12),2),0))</f>
        <v>0.0</v>
      </c>
      <c r="I232" s="2">
        <f>IF(G232="","",ROUND(G232-H232,2))</f>
        <v>9300.0</v>
      </c>
      <c r="J232" t="inlineStr" s="0">
        <is>
          <t>BI- Monetaria</t>
        </is>
      </c>
      <c r="K232" s="3">
        <f>IF(G232="","",ROUND(K231+IF(J232="BI-Ahorro",0,IF(F232="Gasto",-G232,G232)),2))</f>
        <v>89841.07</v>
      </c>
      <c r="L232" s="2">
        <f>IF(G232="","",ROUND(L231+IF(LEFT(E232,4)="2102",G232,IF(J232="BI-Ahorro",-G232,0)),2))</f>
        <v>39745.58</v>
      </c>
      <c r="M232" t="inlineStr" s="0">
        <is>
          <t>BI-3101691</t>
        </is>
      </c>
      <c r="N232" t="inlineStr" s="0">
        <is>
          <t>01-Pre-Primaria / 02-Primaria</t>
        </is>
      </c>
      <c r="O232" t="inlineStr" s="0">
        <is>
          <t>Conciliado con extracto BI 03/08/2026</t>
        </is>
      </c>
    </row>
    <row r="233">
      <c r="A233" t="inlineStr" s="0">
        <is>
          <t>ALT-26-232</t>
        </is>
      </c>
      <c r="B233" t="inlineStr" s="0">
        <is>
          <t>2026-08-03</t>
        </is>
      </c>
      <c r="C233" t="inlineStr" s="0">
        <is>
          <t>agosto</t>
        </is>
      </c>
      <c r="D233" t="inlineStr" s="0">
        <is>
          <t>Cobro mensualidad agosto Rodrigo Gallinsa</t>
        </is>
      </c>
      <c r="E233" t="inlineStr" s="0">
        <is>
          <t>4102 - Colegiaturas Mensuales</t>
        </is>
      </c>
      <c r="F233" t="str" s="0">
        <f>IF(E233="","",IFERROR(VLOOKUP(E233,Config!$F$2:$G$60,2,FALSE),"Gasto"))</f>
        <v>Ingreso</v>
      </c>
      <c r="G233" s="2">
        <v>6300.0</v>
      </c>
      <c r="H233" s="2">
        <f>IF(G233="","",IF(IFERROR(VLOOKUP(E233,Config!$F$2:$H$60,3,FALSE),"Exento")="Afecto",ROUND(G233-(G233/1.12),2),0))</f>
        <v>0.0</v>
      </c>
      <c r="I233" s="2">
        <f>IF(G233="","",ROUND(G233-H233,2))</f>
        <v>6300.0</v>
      </c>
      <c r="J233" t="inlineStr" s="0">
        <is>
          <t>BI- Monetaria</t>
        </is>
      </c>
      <c r="K233" s="3">
        <f>IF(G233="","",ROUND(K232+IF(J233="BI-Ahorro",0,IF(F233="Gasto",-G233,G233)),2))</f>
        <v>96141.07</v>
      </c>
      <c r="L233" s="2">
        <f>IF(G233="","",ROUND(L232+IF(LEFT(E233,4)="2102",G233,IF(J233="BI-Ahorro",-G233,0)),2))</f>
        <v>39745.58</v>
      </c>
      <c r="M233" t="inlineStr" s="0">
        <is>
          <t>BI-3120501</t>
        </is>
      </c>
      <c r="N233" t="inlineStr" s="0">
        <is>
          <t>01-Pre-Primaria / 02-Primaria</t>
        </is>
      </c>
      <c r="O233" t="inlineStr" s="0">
        <is>
          <t>Conciliado con extracto BI 03/08/2026</t>
        </is>
      </c>
    </row>
    <row r="234">
      <c r="A234" t="inlineStr" s="0">
        <is>
          <t>ALT-26-233</t>
        </is>
      </c>
      <c r="B234" t="inlineStr" s="0">
        <is>
          <t>2026-08-03</t>
        </is>
      </c>
      <c r="C234" t="inlineStr" s="0">
        <is>
          <t>agosto</t>
        </is>
      </c>
      <c r="D234" t="inlineStr" s="0">
        <is>
          <t>Cobro mensualidad agosto Andrei González</t>
        </is>
      </c>
      <c r="E234" t="inlineStr" s="0">
        <is>
          <t>4102 - Colegiaturas Mensuales</t>
        </is>
      </c>
      <c r="F234" t="str" s="0">
        <f>IF(E234="","",IFERROR(VLOOKUP(E234,Config!$F$2:$G$60,2,FALSE),"Gasto"))</f>
        <v>Ingreso</v>
      </c>
      <c r="G234" s="2">
        <v>3800.0</v>
      </c>
      <c r="H234" s="2">
        <f>IF(G234="","",IF(IFERROR(VLOOKUP(E234,Config!$F$2:$H$60,3,FALSE),"Exento")="Afecto",ROUND(G234-(G234/1.12),2),0))</f>
        <v>0.0</v>
      </c>
      <c r="I234" s="2">
        <f>IF(G234="","",ROUND(G234-H234,2))</f>
        <v>3800.0</v>
      </c>
      <c r="J234" t="inlineStr" s="0">
        <is>
          <t>BI- Monetaria</t>
        </is>
      </c>
      <c r="K234" s="3">
        <f>IF(G234="","",ROUND(K233+IF(J234="BI-Ahorro",0,IF(F234="Gasto",-G234,G234)),2))</f>
        <v>99941.07</v>
      </c>
      <c r="L234" s="2">
        <f>IF(G234="","",ROUND(L233+IF(LEFT(E234,4)="2102",G234,IF(J234="BI-Ahorro",-G234,0)),2))</f>
        <v>39745.58</v>
      </c>
      <c r="M234" t="inlineStr" s="0">
        <is>
          <t>BI-3171312</t>
        </is>
      </c>
      <c r="N234" t="inlineStr" s="0">
        <is>
          <t>01-Pre-Primaria / 02-Primaria</t>
        </is>
      </c>
      <c r="O234" t="inlineStr" s="0">
        <is>
          <t>Conciliado con extracto BI 03/08/2026</t>
        </is>
      </c>
    </row>
    <row r="235">
      <c r="A235" t="inlineStr" s="0">
        <is>
          <t>ALT-26-234</t>
        </is>
      </c>
      <c r="B235" t="inlineStr" s="0">
        <is>
          <t>2026-08-04</t>
        </is>
      </c>
      <c r="C235" t="inlineStr" s="0">
        <is>
          <t>agosto</t>
        </is>
      </c>
      <c r="D235" t="inlineStr" s="0">
        <is>
          <t>Google Workspace_altus US</t>
        </is>
      </c>
      <c r="E235" t="inlineStr" s="0">
        <is>
          <t>5212 - Telecomunicaciones e internet</t>
        </is>
      </c>
      <c r="F235" t="str" s="0">
        <f>IF(E235="","",IFERROR(VLOOKUP(E235,Config!$F$2:$G$60,2,FALSE),"Gasto"))</f>
        <v>Gasto</v>
      </c>
      <c r="G235" s="2">
        <v>234.96</v>
      </c>
      <c r="H235" s="2">
        <f>IF(G235="","",IF(IFERROR(VLOOKUP(E235,Config!$F$2:$H$60,3,FALSE),"Exento")="Afecto",ROUND(G235-(G235/1.12),2),0))</f>
        <v>25.17</v>
      </c>
      <c r="I235" s="2">
        <f>IF(G235="","",ROUND(G235-H235,2))</f>
        <v>209.79</v>
      </c>
      <c r="J235" t="inlineStr" s="0">
        <is>
          <t>BI- Monetaria</t>
        </is>
      </c>
      <c r="K235" s="3">
        <f>IF(G235="","",ROUND(K234+IF(J235="BI-Ahorro",0,IF(F235="Gasto",-G235,G235)),2))</f>
        <v>99706.11</v>
      </c>
      <c r="L235" s="2">
        <f>IF(G235="","",ROUND(L234+IF(LEFT(E235,4)="2102",G235,IF(J235="BI-Ahorro",-G235,0)),2))</f>
        <v>39745.58</v>
      </c>
      <c r="M235" t="inlineStr" s="0">
        <is>
          <t>BI-102140</t>
        </is>
      </c>
      <c r="N235" t="inlineStr" s="0">
        <is>
          <t>00-Administración</t>
        </is>
      </c>
      <c r="O235" t="inlineStr" s="0">
        <is>
          <t>Conciliado con extracto BI 04/08/2026</t>
        </is>
      </c>
    </row>
    <row r="236">
      <c r="A236" t="inlineStr" s="0">
        <is>
          <t>ALT-26-235</t>
        </is>
      </c>
      <c r="B236" t="inlineStr" s="0">
        <is>
          <t>2026-08-05</t>
        </is>
      </c>
      <c r="C236" t="inlineStr" s="0">
        <is>
          <t>agosto</t>
        </is>
      </c>
      <c r="D236" t="inlineStr" s="0">
        <is>
          <t>Cobro mensualidad agosto Luís Felipe Guzmán (Pamela Sosa)</t>
        </is>
      </c>
      <c r="E236" t="inlineStr" s="0">
        <is>
          <t>4102 - Colegiaturas Mensuales</t>
        </is>
      </c>
      <c r="F236" t="str" s="0">
        <f>IF(E236="","",IFERROR(VLOOKUP(E236,Config!$F$2:$G$60,2,FALSE),"Gasto"))</f>
        <v>Ingreso</v>
      </c>
      <c r="G236" s="2">
        <v>9300.0</v>
      </c>
      <c r="H236" s="2">
        <f>IF(G236="","",IF(IFERROR(VLOOKUP(E236,Config!$F$2:$H$60,3,FALSE),"Exento")="Afecto",ROUND(G236-(G236/1.12),2),0))</f>
        <v>0.0</v>
      </c>
      <c r="I236" s="2">
        <f>IF(G236="","",ROUND(G236-H236,2))</f>
        <v>9300.0</v>
      </c>
      <c r="J236" t="inlineStr" s="0">
        <is>
          <t>BI- Monetaria</t>
        </is>
      </c>
      <c r="K236" s="3">
        <f>IF(G236="","",ROUND(K235+IF(J236="BI-Ahorro",0,IF(F236="Gasto",-G236,G236)),2))</f>
        <v>109006.11</v>
      </c>
      <c r="L236" s="2">
        <f>IF(G236="","",ROUND(L235+IF(LEFT(E236,4)="2102",G236,IF(J236="BI-Ahorro",-G236,0)),2))</f>
        <v>39745.58</v>
      </c>
      <c r="M236" t="inlineStr" s="0">
        <is>
          <t>BI-5138116</t>
        </is>
      </c>
      <c r="N236" t="inlineStr" s="0">
        <is>
          <t>01-Pre-Primaria / 02-Primaria</t>
        </is>
      </c>
      <c r="O236" t="inlineStr" s="0">
        <is>
          <t>Conciliado con extracto BI 05/08/2026</t>
        </is>
      </c>
    </row>
    <row r="237">
      <c r="A237" t="inlineStr" s="0">
        <is>
          <t>ALT-26-236</t>
        </is>
      </c>
      <c r="B237" t="inlineStr" s="0">
        <is>
          <t>2026-08-06</t>
        </is>
      </c>
      <c r="C237" t="inlineStr" s="0">
        <is>
          <t>agosto</t>
        </is>
      </c>
      <c r="D237" t="inlineStr" s="0">
        <is>
          <t>Cobro mensualidad agosto Adriana García</t>
        </is>
      </c>
      <c r="E237" t="inlineStr" s="0">
        <is>
          <t>4102 - Colegiaturas Mensuales</t>
        </is>
      </c>
      <c r="F237" t="str" s="0">
        <f>IF(E237="","",IFERROR(VLOOKUP(E237,Config!$F$2:$G$60,2,FALSE),"Gasto"))</f>
        <v>Ingreso</v>
      </c>
      <c r="G237" s="2">
        <v>9300.0</v>
      </c>
      <c r="H237" s="2">
        <f>IF(G237="","",IF(IFERROR(VLOOKUP(E237,Config!$F$2:$H$60,3,FALSE),"Exento")="Afecto",ROUND(G237-(G237/1.12),2),0))</f>
        <v>0.0</v>
      </c>
      <c r="I237" s="2">
        <f>IF(G237="","",ROUND(G237-H237,2))</f>
        <v>9300.0</v>
      </c>
      <c r="J237" t="inlineStr" s="0">
        <is>
          <t>BI- Monetaria</t>
        </is>
      </c>
      <c r="K237" s="3">
        <f>IF(G237="","",ROUND(K236+IF(J237="BI-Ahorro",0,IF(F237="Gasto",-G237,G237)),2))</f>
        <v>118306.11</v>
      </c>
      <c r="L237" s="2">
        <f>IF(G237="","",ROUND(L236+IF(LEFT(E237,4)="2102",G237,IF(J237="BI-Ahorro",-G237,0)),2))</f>
        <v>39745.58</v>
      </c>
      <c r="M237" t="inlineStr" s="0">
        <is>
          <t>BI-6179707</t>
        </is>
      </c>
      <c r="N237" t="inlineStr" s="0">
        <is>
          <t>01-Pre-Primaria / 02-Primaria</t>
        </is>
      </c>
      <c r="O237" t="inlineStr" s="0">
        <is>
          <t>Conciliado con extracto BI 06/08/2026</t>
        </is>
      </c>
    </row>
    <row r="238">
      <c r="A238" t="inlineStr" s="0">
        <is>
          <t>ALT-26-237</t>
        </is>
      </c>
      <c r="B238" t="inlineStr" s="0">
        <is>
          <t>2026-08-07</t>
        </is>
      </c>
      <c r="C238" t="inlineStr" s="0">
        <is>
          <t>agosto</t>
        </is>
      </c>
      <c r="D238" t="inlineStr" s="0">
        <is>
          <t>Cobro mensualidad agosto Mateo Toribio</t>
        </is>
      </c>
      <c r="E238" t="inlineStr" s="0">
        <is>
          <t>4102 - Colegiaturas Mensuales</t>
        </is>
      </c>
      <c r="F238" t="str" s="0">
        <f>IF(E238="","",IFERROR(VLOOKUP(E238,Config!$F$2:$G$60,2,FALSE),"Gasto"))</f>
        <v>Ingreso</v>
      </c>
      <c r="G238" s="2">
        <v>9300.0</v>
      </c>
      <c r="H238" s="2">
        <f>IF(G238="","",IF(IFERROR(VLOOKUP(E238,Config!$F$2:$H$60,3,FALSE),"Exento")="Afecto",ROUND(G238-(G238/1.12),2),0))</f>
        <v>0.0</v>
      </c>
      <c r="I238" s="2">
        <f>IF(G238="","",ROUND(G238-H238,2))</f>
        <v>9300.0</v>
      </c>
      <c r="J238" t="inlineStr" s="0">
        <is>
          <t>BI- Monetaria</t>
        </is>
      </c>
      <c r="K238" s="3">
        <f>IF(G238="","",ROUND(K237+IF(J238="BI-Ahorro",0,IF(F238="Gasto",-G238,G238)),2))</f>
        <v>127606.11</v>
      </c>
      <c r="L238" s="2">
        <f>IF(G238="","",ROUND(L237+IF(LEFT(E238,4)="2102",G238,IF(J238="BI-Ahorro",-G238,0)),2))</f>
        <v>39745.58</v>
      </c>
      <c r="M238" t="inlineStr" s="0">
        <is>
          <t>BI-7229247</t>
        </is>
      </c>
      <c r="N238" t="inlineStr" s="0">
        <is>
          <t>01-Pre-Primaria / 02-Primaria</t>
        </is>
      </c>
      <c r="O238" t="inlineStr" s="0">
        <is>
          <t>Conciliado con extracto BI 07/08/2026</t>
        </is>
      </c>
    </row>
    <row r="239">
      <c r="A239" t="inlineStr" s="0">
        <is>
          <t>ALT-26-238</t>
        </is>
      </c>
      <c r="B239" t="inlineStr" s="0">
        <is>
          <t>2026-08-07</t>
        </is>
      </c>
      <c r="C239" t="inlineStr" s="0">
        <is>
          <t>agosto</t>
        </is>
      </c>
      <c r="D239" t="inlineStr" s="0">
        <is>
          <t>Pago 2/3 instalación de cámaras</t>
        </is>
      </c>
      <c r="E239" t="inlineStr" s="0">
        <is>
          <t>1501 - Mobiliario y Equipo</t>
        </is>
      </c>
      <c r="F239" t="str" s="0">
        <f>IF(E239="","",IFERROR(VLOOKUP(E239,Config!$F$2:$G$60,2,FALSE),"Gasto"))</f>
        <v>Gasto</v>
      </c>
      <c r="G239" s="2">
        <v>3473.58</v>
      </c>
      <c r="H239" s="2">
        <f>IF(G239="","",IF(IFERROR(VLOOKUP(E239,Config!$F$2:$H$60,3,FALSE),"Exento")="Afecto",ROUND(G239-(G239/1.12),2),0))</f>
        <v>372.17</v>
      </c>
      <c r="I239" s="2">
        <f>IF(G239="","",ROUND(G239-H239,2))</f>
        <v>3101.41</v>
      </c>
      <c r="J239" t="inlineStr" s="0">
        <is>
          <t>BI- Monetaria</t>
        </is>
      </c>
      <c r="K239" s="3">
        <f>IF(G239="","",ROUND(K238+IF(J239="BI-Ahorro",0,IF(F239="Gasto",-G239,G239)),2))</f>
        <v>124132.53</v>
      </c>
      <c r="L239" s="2">
        <f>IF(G239="","",ROUND(L238+IF(LEFT(E239,4)="2102",G239,IF(J239="BI-Ahorro",-G239,0)),2))</f>
        <v>39745.58</v>
      </c>
      <c r="M239" t="inlineStr" s="0">
        <is>
          <t>BI-7169841</t>
        </is>
      </c>
      <c r="N239" t="inlineStr" s="0">
        <is>
          <t>00-Administración</t>
        </is>
      </c>
      <c r="O239" t="inlineStr" s="0">
        <is>
          <t>Conciliado con extracto BI 07/08/2026</t>
        </is>
      </c>
    </row>
    <row r="240">
      <c r="A240" t="inlineStr" s="0">
        <is>
          <t>ALT-26-239</t>
        </is>
      </c>
      <c r="B240" t="inlineStr" s="0">
        <is>
          <t>2026-08-09</t>
        </is>
      </c>
      <c r="C240" t="inlineStr" s="0">
        <is>
          <t>agosto</t>
        </is>
      </c>
      <c r="D240" t="inlineStr" s="0">
        <is>
          <t>Cobro mensualidad agosto Giulia Fiorini</t>
        </is>
      </c>
      <c r="E240" t="inlineStr" s="0">
        <is>
          <t>4102 - Colegiaturas Mensuales</t>
        </is>
      </c>
      <c r="F240" t="str" s="0">
        <f>IF(E240="","",IFERROR(VLOOKUP(E240,Config!$F$2:$G$60,2,FALSE),"Gasto"))</f>
        <v>Ingreso</v>
      </c>
      <c r="G240" s="2">
        <v>1850.0</v>
      </c>
      <c r="H240" s="2">
        <f>IF(G240="","",IF(IFERROR(VLOOKUP(E240,Config!$F$2:$H$60,3,FALSE),"Exento")="Afecto",ROUND(G240-(G240/1.12),2),0))</f>
        <v>0.0</v>
      </c>
      <c r="I240" s="2">
        <f>IF(G240="","",ROUND(G240-H240,2))</f>
        <v>1850.0</v>
      </c>
      <c r="J240" t="inlineStr" s="0">
        <is>
          <t>BI- Monetaria</t>
        </is>
      </c>
      <c r="K240" s="3">
        <f>IF(G240="","",ROUND(K239+IF(J240="BI-Ahorro",0,IF(F240="Gasto",-G240,G240)),2))</f>
        <v>125982.53</v>
      </c>
      <c r="L240" s="2">
        <f>IF(G240="","",ROUND(L239+IF(LEFT(E240,4)="2102",G240,IF(J240="BI-Ahorro",-G240,0)),2))</f>
        <v>39745.58</v>
      </c>
      <c r="M240" t="inlineStr" s="0">
        <is>
          <t>BI-9087491-A</t>
        </is>
      </c>
      <c r="N240" t="inlineStr" s="0">
        <is>
          <t>01-Pre-Primaria / 02-Primaria</t>
        </is>
      </c>
      <c r="O240" t="inlineStr" s="0">
        <is>
          <t>Parte de Docto 9087491 por Q2,158.34</t>
        </is>
      </c>
    </row>
    <row r="241">
      <c r="A241" t="inlineStr" s="0">
        <is>
          <t>ALT-26-240</t>
        </is>
      </c>
      <c r="B241" t="inlineStr" s="0">
        <is>
          <t>2026-08-09</t>
        </is>
      </c>
      <c r="C241" t="inlineStr" s="0">
        <is>
          <t>agosto</t>
        </is>
      </c>
      <c r="D241" t="inlineStr" s="0">
        <is>
          <t>Cobro anticipo 5/6 inscripción Giulia Fiorini</t>
        </is>
      </c>
      <c r="E241" t="inlineStr" s="0">
        <is>
          <t>4101 - Inscripciones</t>
        </is>
      </c>
      <c r="F241" t="str" s="0">
        <f>IF(E241="","",IFERROR(VLOOKUP(E241,Config!$F$2:$G$60,2,FALSE),"Gasto"))</f>
        <v>Ingreso</v>
      </c>
      <c r="G241" s="2">
        <v>308.34</v>
      </c>
      <c r="H241" s="2">
        <f>IF(G241="","",IF(IFERROR(VLOOKUP(E241,Config!$F$2:$H$60,3,FALSE),"Exento")="Afecto",ROUND(G241-(G241/1.12),2),0))</f>
        <v>0.0</v>
      </c>
      <c r="I241" s="2">
        <f>IF(G241="","",ROUND(G241-H241,2))</f>
        <v>308.34</v>
      </c>
      <c r="J241" t="inlineStr" s="0">
        <is>
          <t>BI- Monetaria</t>
        </is>
      </c>
      <c r="K241" s="3">
        <f>IF(G241="","",ROUND(K240+IF(J241="BI-Ahorro",0,IF(F241="Gasto",-G241,G241)),2))</f>
        <v>126290.87</v>
      </c>
      <c r="L241" s="2">
        <f>IF(G241="","",ROUND(L240+IF(LEFT(E241,4)="2102",G241,IF(J241="BI-Ahorro",-G241,0)),2))</f>
        <v>39745.58</v>
      </c>
      <c r="M241" t="inlineStr" s="0">
        <is>
          <t>BI-9087491-B</t>
        </is>
      </c>
      <c r="N241" t="inlineStr" s="0">
        <is>
          <t>01-Pre-Primaria / 02-Primaria</t>
        </is>
      </c>
      <c r="O241" t="inlineStr" s="0">
        <is>
          <t>Ajustado de Q308.35 a Q308.34 para cuadrar exacto con Docto 9087491 (Q2,158.34)</t>
        </is>
      </c>
    </row>
    <row r="242">
      <c r="A242" t="inlineStr" s="0">
        <is>
          <t>ALT-26-241</t>
        </is>
      </c>
      <c r="B242" t="inlineStr" s="0">
        <is>
          <t>2026-08-13</t>
        </is>
      </c>
      <c r="C242" t="inlineStr" s="0">
        <is>
          <t>agosto</t>
        </is>
      </c>
      <c r="D242" t="inlineStr" s="0">
        <is>
          <t>Último pago 3/3 instalación de cámaras</t>
        </is>
      </c>
      <c r="E242" t="inlineStr" s="0">
        <is>
          <t>1501 - Mobiliario y Equipo</t>
        </is>
      </c>
      <c r="F242" t="str" s="0">
        <f>IF(E242="","",IFERROR(VLOOKUP(E242,Config!$F$2:$G$60,2,FALSE),"Gasto"))</f>
        <v>Gasto</v>
      </c>
      <c r="G242" s="2">
        <v>1275.0</v>
      </c>
      <c r="H242" s="2">
        <f>IF(G242="","",IF(IFERROR(VLOOKUP(E242,Config!$F$2:$H$60,3,FALSE),"Exento")="Afecto",ROUND(G242-(G242/1.12),2),0))</f>
        <v>136.61</v>
      </c>
      <c r="I242" s="2">
        <f>IF(G242="","",ROUND(G242-H242,2))</f>
        <v>1138.39</v>
      </c>
      <c r="J242" t="inlineStr" s="0">
        <is>
          <t>BI- Monetaria</t>
        </is>
      </c>
      <c r="K242" s="3">
        <f>IF(G242="","",ROUND(K241+IF(J242="BI-Ahorro",0,IF(F242="Gasto",-G242,G242)),2))</f>
        <v>125015.87</v>
      </c>
      <c r="L242" s="2">
        <f>IF(G242="","",ROUND(L241+IF(LEFT(E242,4)="2102",G242,IF(J242="BI-Ahorro",-G242,0)),2))</f>
        <v>39745.58</v>
      </c>
      <c r="M242" t="inlineStr" s="0">
        <is>
          <t>BI-13192758</t>
        </is>
      </c>
      <c r="N242" t="inlineStr" s="0">
        <is>
          <t>00-Administración</t>
        </is>
      </c>
      <c r="O242" t="inlineStr" s="0">
        <is>
          <t>Conciliado con extracto BI 13/08/2026</t>
        </is>
      </c>
    </row>
    <row r="243">
      <c r="A243" t="inlineStr" s="0">
        <is>
          <t>ALT-26-242</t>
        </is>
      </c>
      <c r="B243" t="inlineStr" s="0">
        <is>
          <t>2026-08-27</t>
        </is>
      </c>
      <c r="C243" t="inlineStr" s="0">
        <is>
          <t>agosto</t>
        </is>
      </c>
      <c r="D243" t="inlineStr" s="0">
        <is>
          <t>Pago sueldo agosto Geovanna Velázquez</t>
        </is>
      </c>
      <c r="E243" t="inlineStr" s="0">
        <is>
          <t>5101 - Sueldos y Salarios</t>
        </is>
      </c>
      <c r="F243" t="str" s="0">
        <f>IF(E243="","",IFERROR(VLOOKUP(E243,Config!$F$2:$G$60,2,FALSE),"Gasto"))</f>
        <v>Gasto</v>
      </c>
      <c r="G243" s="2">
        <v>4234.78</v>
      </c>
      <c r="H243" s="2">
        <f>IF(G243="","",IF(IFERROR(VLOOKUP(E243,Config!$F$2:$H$60,3,FALSE),"Exento")="Afecto",ROUND(G243-(G243/1.12),2),0))</f>
        <v>0.0</v>
      </c>
      <c r="I243" s="2">
        <f>IF(G243="","",ROUND(G243-H243,2))</f>
        <v>4234.78</v>
      </c>
      <c r="J243" t="inlineStr" s="0">
        <is>
          <t>BI- Monetaria</t>
        </is>
      </c>
      <c r="K243" s="3">
        <f>IF(G243="","",ROUND(K242+IF(J243="BI-Ahorro",0,IF(F243="Gasto",-G243,G243)),2))</f>
        <v>120781.09</v>
      </c>
      <c r="L243" s="2">
        <f>IF(G243="","",ROUND(L242+IF(LEFT(E243,4)="2102",G243,IF(J243="BI-Ahorro",-G243,0)),2))</f>
        <v>39745.58</v>
      </c>
      <c r="M243" t="inlineStr" s="0">
        <is>
          <t>BI-137504</t>
        </is>
      </c>
      <c r="N243" t="inlineStr" s="0">
        <is>
          <t>00-Administración</t>
        </is>
      </c>
      <c r="O243" t="inlineStr" s="0">
        <is>
          <t>Conciliado con extracto BI 27/08/2026</t>
        </is>
      </c>
    </row>
    <row r="244">
      <c r="A244" t="inlineStr" s="0">
        <is>
          <t>ALT-26-243</t>
        </is>
      </c>
      <c r="B244" t="inlineStr" s="0">
        <is>
          <t>2026-08-27</t>
        </is>
      </c>
      <c r="C244" t="inlineStr" s="0">
        <is>
          <t>agosto</t>
        </is>
      </c>
      <c r="D244" t="inlineStr" s="0">
        <is>
          <t>Pago sueldo agosto Suly Sajbochol</t>
        </is>
      </c>
      <c r="E244" t="inlineStr" s="0">
        <is>
          <t>5101 - Sueldos y Salarios</t>
        </is>
      </c>
      <c r="F244" t="str" s="0">
        <f>IF(E244="","",IFERROR(VLOOKUP(E244,Config!$F$2:$G$60,2,FALSE),"Gasto"))</f>
        <v>Gasto</v>
      </c>
      <c r="G244" s="2">
        <v>4234.78</v>
      </c>
      <c r="H244" s="2">
        <f>IF(G244="","",IF(IFERROR(VLOOKUP(E244,Config!$F$2:$H$60,3,FALSE),"Exento")="Afecto",ROUND(G244-(G244/1.12),2),0))</f>
        <v>0.0</v>
      </c>
      <c r="I244" s="2">
        <f>IF(G244="","",ROUND(G244-H244,2))</f>
        <v>4234.78</v>
      </c>
      <c r="J244" t="inlineStr" s="0">
        <is>
          <t>BI- Monetaria</t>
        </is>
      </c>
      <c r="K244" s="3">
        <f>IF(G244="","",ROUND(K243+IF(J244="BI-Ahorro",0,IF(F244="Gasto",-G244,G244)),2))</f>
        <v>116546.31</v>
      </c>
      <c r="L244" s="2">
        <f>IF(G244="","",ROUND(L243+IF(LEFT(E244,4)="2102",G244,IF(J244="BI-Ahorro",-G244,0)),2))</f>
        <v>39745.58</v>
      </c>
      <c r="M244" t="inlineStr" s="0">
        <is>
          <t>BI-152608</t>
        </is>
      </c>
      <c r="N244" t="inlineStr" s="0">
        <is>
          <t>00-Administración</t>
        </is>
      </c>
      <c r="O244" t="inlineStr" s="0">
        <is>
          <t>Conciliado con extracto BI 27/08/2026</t>
        </is>
      </c>
    </row>
    <row r="245">
      <c r="A245" t="inlineStr" s="0">
        <is>
          <t>ALT-26-244</t>
        </is>
      </c>
      <c r="B245" t="inlineStr" s="0">
        <is>
          <t>2026-08-27</t>
        </is>
      </c>
      <c r="C245" t="inlineStr" s="0">
        <is>
          <t>agosto</t>
        </is>
      </c>
      <c r="D245" t="inlineStr" s="0">
        <is>
          <t>Pago sueldo agosto Melissa Peña</t>
        </is>
      </c>
      <c r="E245" t="inlineStr" s="0">
        <is>
          <t>5101 - Sueldos y Salarios</t>
        </is>
      </c>
      <c r="F245" t="str" s="0">
        <f>IF(E245="","",IFERROR(VLOOKUP(E245,Config!$F$2:$G$60,2,FALSE),"Gasto"))</f>
        <v>Gasto</v>
      </c>
      <c r="G245" s="2">
        <v>4234.78</v>
      </c>
      <c r="H245" s="2">
        <f>IF(G245="","",IF(IFERROR(VLOOKUP(E245,Config!$F$2:$H$60,3,FALSE),"Exento")="Afecto",ROUND(G245-(G245/1.12),2),0))</f>
        <v>0.0</v>
      </c>
      <c r="I245" s="2">
        <f>IF(G245="","",ROUND(G245-H245,2))</f>
        <v>4234.78</v>
      </c>
      <c r="J245" t="inlineStr" s="0">
        <is>
          <t>BI- Monetaria</t>
        </is>
      </c>
      <c r="K245" s="3">
        <f>IF(G245="","",ROUND(K244+IF(J245="BI-Ahorro",0,IF(F245="Gasto",-G245,G245)),2))</f>
        <v>112311.53</v>
      </c>
      <c r="L245" s="2">
        <f>IF(G245="","",ROUND(L244+IF(LEFT(E245,4)="2102",G245,IF(J245="BI-Ahorro",-G245,0)),2))</f>
        <v>39745.58</v>
      </c>
      <c r="M245" t="inlineStr" s="0">
        <is>
          <t>BI-165806</t>
        </is>
      </c>
      <c r="N245" t="inlineStr" s="0">
        <is>
          <t>00-Administración</t>
        </is>
      </c>
      <c r="O245" t="inlineStr" s="0">
        <is>
          <t>Conciliado con extracto BI 27/08/2026</t>
        </is>
      </c>
    </row>
    <row r="246">
      <c r="A246" t="inlineStr" s="0">
        <is>
          <t>ALT-26-245</t>
        </is>
      </c>
      <c r="B246" t="inlineStr" s="0">
        <is>
          <t>2026-08-27</t>
        </is>
      </c>
      <c r="C246" t="inlineStr" s="0">
        <is>
          <t>agosto</t>
        </is>
      </c>
      <c r="D246" t="inlineStr" s="0">
        <is>
          <t>Donación agosto Fundación Waybi</t>
        </is>
      </c>
      <c r="E246" t="inlineStr" s="0">
        <is>
          <t>5208 - Donaciones</t>
        </is>
      </c>
      <c r="F246" t="str" s="0">
        <f>IF(E246="","",IFERROR(VLOOKUP(E246,Config!$F$2:$G$60,2,FALSE),"Gasto"))</f>
        <v>Gasto</v>
      </c>
      <c r="G246" s="2">
        <v>1700.0</v>
      </c>
      <c r="H246" s="2">
        <f>IF(G246="","",IF(IFERROR(VLOOKUP(E246,Config!$F$2:$H$60,3,FALSE),"Exento")="Afecto",ROUND(G246-(G246/1.12),2),0))</f>
        <v>182.14</v>
      </c>
      <c r="I246" s="2">
        <f>IF(G246="","",ROUND(G246-H246,2))</f>
        <v>1517.86</v>
      </c>
      <c r="J246" t="inlineStr" s="0">
        <is>
          <t>BI- Monetaria</t>
        </is>
      </c>
      <c r="K246" s="3">
        <f>IF(G246="","",ROUND(K245+IF(J246="BI-Ahorro",0,IF(F246="Gasto",-G246,G246)),2))</f>
        <v>110611.53</v>
      </c>
      <c r="L246" s="2">
        <f>IF(G246="","",ROUND(L245+IF(LEFT(E246,4)="2102",G246,IF(J246="BI-Ahorro",-G246,0)),2))</f>
        <v>39745.58</v>
      </c>
      <c r="M246" t="inlineStr" s="0">
        <is>
          <t>BI-184088</t>
        </is>
      </c>
      <c r="N246" t="inlineStr" s="0">
        <is>
          <t>00-Administración</t>
        </is>
      </c>
      <c r="O246" t="inlineStr" s="0">
        <is>
          <t>Conciliado con extracto BI 27/08/2026</t>
        </is>
      </c>
    </row>
    <row r="247">
      <c r="A247" t="inlineStr" s="0">
        <is>
          <t>ALT-26-246</t>
        </is>
      </c>
      <c r="B247" t="inlineStr" s="0">
        <is>
          <t>2026-08-27</t>
        </is>
      </c>
      <c r="C247" t="inlineStr" s="0">
        <is>
          <t>agosto</t>
        </is>
      </c>
      <c r="D247" t="inlineStr" s="0">
        <is>
          <t>Pago sueldo agosto Jessica Gudiel</t>
        </is>
      </c>
      <c r="E247" t="inlineStr" s="0">
        <is>
          <t>5101 - Sueldos y Salarios</t>
        </is>
      </c>
      <c r="F247" t="str" s="0">
        <f>IF(E247="","",IFERROR(VLOOKUP(E247,Config!$F$2:$G$60,2,FALSE),"Gasto"))</f>
        <v>Gasto</v>
      </c>
      <c r="G247" s="2">
        <v>5862.19</v>
      </c>
      <c r="H247" s="2">
        <f>IF(G247="","",IF(IFERROR(VLOOKUP(E247,Config!$F$2:$H$60,3,FALSE),"Exento")="Afecto",ROUND(G247-(G247/1.12),2),0))</f>
        <v>0.0</v>
      </c>
      <c r="I247" s="2">
        <f>IF(G247="","",ROUND(G247-H247,2))</f>
        <v>5862.19</v>
      </c>
      <c r="J247" t="inlineStr" s="0">
        <is>
          <t>BI- Monetaria</t>
        </is>
      </c>
      <c r="K247" s="3">
        <f>IF(G247="","",ROUND(K246+IF(J247="BI-Ahorro",0,IF(F247="Gasto",-G247,G247)),2))</f>
        <v>104749.34</v>
      </c>
      <c r="L247" s="2">
        <f>IF(G247="","",ROUND(L246+IF(LEFT(E247,4)="2102",G247,IF(J247="BI-Ahorro",-G247,0)),2))</f>
        <v>39745.58</v>
      </c>
      <c r="M247" t="inlineStr" s="0">
        <is>
          <t>BI-226221</t>
        </is>
      </c>
      <c r="N247" t="inlineStr" s="0">
        <is>
          <t>00-Administración</t>
        </is>
      </c>
      <c r="O247" t="inlineStr" s="0">
        <is>
          <t>Conciliado con extracto BI 27/08/2026</t>
        </is>
      </c>
    </row>
    <row r="248">
      <c r="A248" t="inlineStr" s="0">
        <is>
          <t>ALT-26-247</t>
        </is>
      </c>
      <c r="B248" t="inlineStr" s="0">
        <is>
          <t>2026-08-27</t>
        </is>
      </c>
      <c r="C248" t="inlineStr" s="0">
        <is>
          <t>agosto</t>
        </is>
      </c>
      <c r="D248" t="inlineStr" s="0">
        <is>
          <t>Pago RRSS Altus Raúl</t>
        </is>
      </c>
      <c r="E248" t="inlineStr" s="0">
        <is>
          <t>5204 - Marketing y Publicidad</t>
        </is>
      </c>
      <c r="F248" t="str" s="0">
        <f>IF(E248="","",IFERROR(VLOOKUP(E248,Config!$F$2:$G$60,2,FALSE),"Gasto"))</f>
        <v>Gasto</v>
      </c>
      <c r="G248" s="2">
        <v>500.0</v>
      </c>
      <c r="H248" s="2">
        <f>IF(G248="","",IF(IFERROR(VLOOKUP(E248,Config!$F$2:$H$60,3,FALSE),"Exento")="Afecto",ROUND(G248-(G248/1.12),2),0))</f>
        <v>53.57</v>
      </c>
      <c r="I248" s="2">
        <f>IF(G248="","",ROUND(G248-H248,2))</f>
        <v>446.43</v>
      </c>
      <c r="J248" t="inlineStr" s="0">
        <is>
          <t>BI- Monetaria</t>
        </is>
      </c>
      <c r="K248" s="3">
        <f>IF(G248="","",ROUND(K247+IF(J248="BI-Ahorro",0,IF(F248="Gasto",-G248,G248)),2))</f>
        <v>104249.34</v>
      </c>
      <c r="L248" s="2">
        <f>IF(G248="","",ROUND(L247+IF(LEFT(E248,4)="2102",G248,IF(J248="BI-Ahorro",-G248,0)),2))</f>
        <v>39745.58</v>
      </c>
      <c r="M248" t="inlineStr" s="0">
        <is>
          <t>BI-231535</t>
        </is>
      </c>
      <c r="N248" t="inlineStr" s="0">
        <is>
          <t>00-Administración</t>
        </is>
      </c>
      <c r="O248" t="inlineStr" s="0">
        <is>
          <t>Conciliado con extracto BI 27/08/2026</t>
        </is>
      </c>
    </row>
    <row r="249">
      <c r="A249" t="inlineStr" s="0">
        <is>
          <t>ALT-26-248</t>
        </is>
      </c>
      <c r="B249" t="inlineStr" s="0">
        <is>
          <t>2026-08-27</t>
        </is>
      </c>
      <c r="C249" t="inlineStr" s="0">
        <is>
          <t>agosto</t>
        </is>
      </c>
      <c r="D249" t="inlineStr" s="0">
        <is>
          <t>Pago sueldo agosto Lucía Montes</t>
        </is>
      </c>
      <c r="E249" t="inlineStr" s="0">
        <is>
          <t>5101 - Sueldos y Salarios</t>
        </is>
      </c>
      <c r="F249" t="str" s="0">
        <f>IF(E249="","",IFERROR(VLOOKUP(E249,Config!$F$2:$G$60,2,FALSE),"Gasto"))</f>
        <v>Gasto</v>
      </c>
      <c r="G249" s="2">
        <v>8574.54</v>
      </c>
      <c r="H249" s="2">
        <f>IF(G249="","",IF(IFERROR(VLOOKUP(E249,Config!$F$2:$H$60,3,FALSE),"Exento")="Afecto",ROUND(G249-(G249/1.12),2),0))</f>
        <v>0.0</v>
      </c>
      <c r="I249" s="2">
        <f>IF(G249="","",ROUND(G249-H249,2))</f>
        <v>8574.54</v>
      </c>
      <c r="J249" t="inlineStr" s="0">
        <is>
          <t>BI- Monetaria</t>
        </is>
      </c>
      <c r="K249" s="3">
        <f>IF(G249="","",ROUND(K248+IF(J249="BI-Ahorro",0,IF(F249="Gasto",-G249,G249)),2))</f>
        <v>95674.8</v>
      </c>
      <c r="L249" s="2">
        <f>IF(G249="","",ROUND(L248+IF(LEFT(E249,4)="2102",G249,IF(J249="BI-Ahorro",-G249,0)),2))</f>
        <v>39745.58</v>
      </c>
      <c r="M249" t="inlineStr" s="0">
        <is>
          <t>BI-27123339</t>
        </is>
      </c>
      <c r="N249" t="inlineStr" s="0">
        <is>
          <t>00-Administración</t>
        </is>
      </c>
      <c r="O249" t="inlineStr" s="0">
        <is>
          <t>Ajustado a Q8,574.54 exactos según Docto 27123339</t>
        </is>
      </c>
    </row>
    <row r="250">
      <c r="A250" t="inlineStr" s="0">
        <is>
          <t>ALT-26-249</t>
        </is>
      </c>
      <c r="B250" t="inlineStr" s="0">
        <is>
          <t>2026-08-27</t>
        </is>
      </c>
      <c r="C250" t="inlineStr" s="0">
        <is>
          <t>agosto</t>
        </is>
      </c>
      <c r="D250" t="inlineStr" s="0">
        <is>
          <t>Publicidad agencia Nauta Estudio Isa González</t>
        </is>
      </c>
      <c r="E250" t="inlineStr" s="0">
        <is>
          <t>5204 - Marketing y Publicidad</t>
        </is>
      </c>
      <c r="F250" t="str" s="0">
        <f>IF(E250="","",IFERROR(VLOOKUP(E250,Config!$F$2:$G$60,2,FALSE),"Gasto"))</f>
        <v>Gasto</v>
      </c>
      <c r="G250" s="2">
        <v>2050.0</v>
      </c>
      <c r="H250" s="2">
        <f>IF(G250="","",IF(IFERROR(VLOOKUP(E250,Config!$F$2:$H$60,3,FALSE),"Exento")="Afecto",ROUND(G250-(G250/1.12),2),0))</f>
        <v>219.64</v>
      </c>
      <c r="I250" s="2">
        <f>IF(G250="","",ROUND(G250-H250,2))</f>
        <v>1830.36</v>
      </c>
      <c r="J250" t="inlineStr" s="0">
        <is>
          <t>BI- Monetaria</t>
        </is>
      </c>
      <c r="K250" s="3">
        <f>IF(G250="","",ROUND(K249+IF(J250="BI-Ahorro",0,IF(F250="Gasto",-G250,G250)),2))</f>
        <v>93624.8</v>
      </c>
      <c r="L250" s="2">
        <f>IF(G250="","",ROUND(L249+IF(LEFT(E250,4)="2102",G250,IF(J250="BI-Ahorro",-G250,0)),2))</f>
        <v>39745.58</v>
      </c>
      <c r="M250" t="inlineStr" s="0">
        <is>
          <t>BI-27143053</t>
        </is>
      </c>
      <c r="N250" t="inlineStr" s="0">
        <is>
          <t>00-Administración</t>
        </is>
      </c>
      <c r="O250" t="inlineStr" s="0">
        <is>
          <t>Conciliado con extracto BI 27/08/2026</t>
        </is>
      </c>
    </row>
    <row r="251">
      <c r="A251" t="inlineStr" s="0">
        <is>
          <t>ALT-26-250</t>
        </is>
      </c>
      <c r="B251" t="inlineStr" s="0">
        <is>
          <t>2026-08-27</t>
        </is>
      </c>
      <c r="C251" t="inlineStr" s="0">
        <is>
          <t>agosto</t>
        </is>
      </c>
      <c r="D251" t="inlineStr" s="0">
        <is>
          <t>Provisiones laborales agosto (Traslado a BI-Ahorro)</t>
        </is>
      </c>
      <c r="E251" t="inlineStr" s="0">
        <is>
          <t>2102 - Provisiones Laborales</t>
        </is>
      </c>
      <c r="F251" t="str" s="0">
        <f>IF(E251="","",IFERROR(VLOOKUP(E251,Config!$F$2:$G$60,2,FALSE),"Gasto"))</f>
        <v>Gasto</v>
      </c>
      <c r="G251" s="2">
        <v>42000.0</v>
      </c>
      <c r="H251" s="2">
        <f>IF(G251="","",IF(IFERROR(VLOOKUP(E251,Config!$F$2:$H$60,3,FALSE),"Exento")="Afecto",ROUND(G251-(G251/1.12),2),0))</f>
        <v>0.0</v>
      </c>
      <c r="I251" s="2">
        <f>IF(G251="","",ROUND(G251-H251,2))</f>
        <v>42000.0</v>
      </c>
      <c r="J251" t="inlineStr" s="0">
        <is>
          <t>BI- Monetaria</t>
        </is>
      </c>
      <c r="K251" s="3">
        <f>IF(G251="","",ROUND(K250+IF(J251="BI-Ahorro",0,IF(F251="Gasto",-G251,G251)),2))</f>
        <v>51624.8</v>
      </c>
      <c r="L251" s="2">
        <f>IF(G251="","",ROUND(L250+IF(LEFT(E251,4)="2102",G251,IF(J251="BI-Ahorro",-G251,0)),2))</f>
        <v>81745.58</v>
      </c>
      <c r="M251" t="inlineStr" s="0">
        <is>
          <t>BI-27145997</t>
        </is>
      </c>
      <c r="N251" t="inlineStr" s="0">
        <is>
          <t>00-Administración</t>
        </is>
      </c>
      <c r="O251" t="inlineStr" s="0">
        <is>
          <t>Conciliado con extracto BI 27/08/2026</t>
        </is>
      </c>
    </row>
    <row r="252">
      <c r="A252" t="inlineStr" s="0">
        <is>
          <t>ALT-26-251</t>
        </is>
      </c>
      <c r="B252" t="inlineStr" s="0">
        <is>
          <t>2026-08-27</t>
        </is>
      </c>
      <c r="C252" t="inlineStr" s="0">
        <is>
          <t>agosto</t>
        </is>
      </c>
      <c r="D252" t="inlineStr" s="0">
        <is>
          <t>Honorarios contabilidad agosto Sergio contador</t>
        </is>
      </c>
      <c r="E252" t="inlineStr" s="0">
        <is>
          <t>5209 - Honorarios profesionales</t>
        </is>
      </c>
      <c r="F252" t="str" s="0">
        <f>IF(E252="","",IFERROR(VLOOKUP(E252,Config!$F$2:$G$60,2,FALSE),"Gasto"))</f>
        <v>Gasto</v>
      </c>
      <c r="G252" s="2">
        <v>350.0</v>
      </c>
      <c r="H252" s="2">
        <f>IF(G252="","",IF(IFERROR(VLOOKUP(E252,Config!$F$2:$H$60,3,FALSE),"Exento")="Afecto",ROUND(G252-(G252/1.12),2),0))</f>
        <v>37.5</v>
      </c>
      <c r="I252" s="2">
        <f>IF(G252="","",ROUND(G252-H252,2))</f>
        <v>312.5</v>
      </c>
      <c r="J252" t="inlineStr" s="0">
        <is>
          <t>BI- Monetaria</t>
        </is>
      </c>
      <c r="K252" s="3">
        <f>IF(G252="","",ROUND(K251+IF(J252="BI-Ahorro",0,IF(F252="Gasto",-G252,G252)),2))</f>
        <v>51274.8</v>
      </c>
      <c r="L252" s="2">
        <f>IF(G252="","",ROUND(L251+IF(LEFT(E252,4)="2102",G252,IF(J252="BI-Ahorro",-G252,0)),2))</f>
        <v>81745.58</v>
      </c>
      <c r="M252" t="inlineStr" s="0">
        <is>
          <t>BI-27176761</t>
        </is>
      </c>
      <c r="N252" t="inlineStr" s="0">
        <is>
          <t>00-Administración</t>
        </is>
      </c>
      <c r="O252" t="inlineStr" s="0">
        <is>
          <t>Conciliado con extracto BI 27/08/2026</t>
        </is>
      </c>
    </row>
    <row r="253">
      <c r="A253" t="inlineStr" s="0">
        <is>
          <t>ALT-26-252</t>
        </is>
      </c>
      <c r="B253" t="inlineStr" s="0">
        <is>
          <t>2026-08-27</t>
        </is>
      </c>
      <c r="C253" t="inlineStr" s="0">
        <is>
          <t>agosto</t>
        </is>
      </c>
      <c r="D253" t="inlineStr" s="0">
        <is>
          <t>Pago impuesto ISR retenido agosto</t>
        </is>
      </c>
      <c r="E253" t="inlineStr" s="0">
        <is>
          <t>2105 - ISR Retenciones por Pagar</t>
        </is>
      </c>
      <c r="F253" t="str" s="0">
        <f>IF(E253="","",IFERROR(VLOOKUP(E253,Config!$F$2:$G$60,2,FALSE),"Gasto"))</f>
        <v>Gasto</v>
      </c>
      <c r="G253" s="2">
        <v>375.85</v>
      </c>
      <c r="H253" s="2">
        <f>IF(G253="","",IF(IFERROR(VLOOKUP(E253,Config!$F$2:$H$60,3,FALSE),"Exento")="Afecto",ROUND(G253-(G253/1.12),2),0))</f>
        <v>0.0</v>
      </c>
      <c r="I253" s="2">
        <f>IF(G253="","",ROUND(G253-H253,2))</f>
        <v>375.85</v>
      </c>
      <c r="J253" t="inlineStr" s="0">
        <is>
          <t>BI- Monetaria</t>
        </is>
      </c>
      <c r="K253" s="3">
        <f>IF(G253="","",ROUND(K252+IF(J253="BI-Ahorro",0,IF(F253="Gasto",-G253,G253)),2))</f>
        <v>50898.95</v>
      </c>
      <c r="L253" s="2">
        <f>IF(G253="","",ROUND(L252+IF(LEFT(E253,4)="2102",G253,IF(J253="BI-Ahorro",-G253,0)),2))</f>
        <v>81745.58</v>
      </c>
      <c r="M253" t="inlineStr" s="0">
        <is>
          <t>BI-27197546</t>
        </is>
      </c>
      <c r="N253" t="inlineStr" s="0">
        <is>
          <t>00-Administración</t>
        </is>
      </c>
      <c r="O253" t="inlineStr" s="0">
        <is>
          <t>Conciliado con extracto BI 27/08/2026</t>
        </is>
      </c>
    </row>
    <row r="254">
      <c r="A254" t="inlineStr" s="0">
        <is>
          <t>ALT-26-253</t>
        </is>
      </c>
      <c r="B254" t="inlineStr" s="0">
        <is>
          <t>2026-08-27</t>
        </is>
      </c>
      <c r="C254" t="inlineStr" s="0">
        <is>
          <t>agosto</t>
        </is>
      </c>
      <c r="D254" t="inlineStr" s="0">
        <is>
          <t>Pago celular ALTUS agosto</t>
        </is>
      </c>
      <c r="E254" t="inlineStr" s="0">
        <is>
          <t>5212 - Telecomunicaciones e internet</t>
        </is>
      </c>
      <c r="F254" t="str" s="0">
        <f>IF(E254="","",IFERROR(VLOOKUP(E254,Config!$F$2:$G$60,2,FALSE),"Gasto"))</f>
        <v>Gasto</v>
      </c>
      <c r="G254" s="2">
        <v>285.0</v>
      </c>
      <c r="H254" s="2">
        <f>IF(G254="","",IF(IFERROR(VLOOKUP(E254,Config!$F$2:$H$60,3,FALSE),"Exento")="Afecto",ROUND(G254-(G254/1.12),2),0))</f>
        <v>30.54</v>
      </c>
      <c r="I254" s="2">
        <f>IF(G254="","",ROUND(G254-H254,2))</f>
        <v>254.46</v>
      </c>
      <c r="J254" t="inlineStr" s="0">
        <is>
          <t>BI- Monetaria</t>
        </is>
      </c>
      <c r="K254" s="3">
        <f>IF(G254="","",ROUND(K253+IF(J254="BI-Ahorro",0,IF(F254="Gasto",-G254,G254)),2))</f>
        <v>50613.95</v>
      </c>
      <c r="L254" s="2">
        <f>IF(G254="","",ROUND(L253+IF(LEFT(E254,4)="2102",G254,IF(J254="BI-Ahorro",-G254,0)),2))</f>
        <v>81745.58</v>
      </c>
      <c r="M254" t="inlineStr" s="0">
        <is>
          <t>BI-27208297</t>
        </is>
      </c>
      <c r="N254" t="inlineStr" s="0">
        <is>
          <t>00-Administración</t>
        </is>
      </c>
      <c r="O254" t="inlineStr" s="0">
        <is>
          <t>Conciliado con extracto BI 27/08/2026</t>
        </is>
      </c>
    </row>
    <row r="255">
      <c r="A255" t="inlineStr" s="0">
        <is>
          <t>ALT-26-254</t>
        </is>
      </c>
      <c r="B255" t="inlineStr" s="0">
        <is>
          <t>2026-09-01</t>
        </is>
      </c>
      <c r="C255" t="inlineStr" s="0">
        <is>
          <t>septiembre</t>
        </is>
      </c>
      <c r="D255" t="inlineStr" s="0">
        <is>
          <t>Cobro mensualidad septiembre Andrei González</t>
        </is>
      </c>
      <c r="E255" t="inlineStr" s="0">
        <is>
          <t>4102 - Colegiaturas Mensuales</t>
        </is>
      </c>
      <c r="F255" t="str" s="0">
        <f>IF(E255="","",IFERROR(VLOOKUP(E255,Config!$F$2:$G$60,2,FALSE),"Gasto"))</f>
        <v>Ingreso</v>
      </c>
      <c r="G255" s="2">
        <v>3800.0</v>
      </c>
      <c r="H255" s="2">
        <f>IF(G255="","",IF(IFERROR(VLOOKUP(E255,Config!$F$2:$H$60,3,FALSE),"Exento")="Afecto",ROUND(G255-(G255/1.12),2),0))</f>
        <v>0.0</v>
      </c>
      <c r="I255" s="2">
        <f>IF(G255="","",ROUND(G255-H255,2))</f>
        <v>3800.0</v>
      </c>
      <c r="J255" t="inlineStr" s="0">
        <is>
          <t>BI- Monetaria</t>
        </is>
      </c>
      <c r="K255" s="3">
        <f>IF(G255="","",ROUND(K254+IF(J255="BI-Ahorro",0,IF(F255="Gasto",-G255,G255)),2))</f>
        <v>54413.95</v>
      </c>
      <c r="L255" s="2">
        <f>IF(G255="","",ROUND(L254+IF(LEFT(E255,4)="2102",G255,IF(J255="BI-Ahorro",-G255,0)),2))</f>
        <v>81745.58</v>
      </c>
      <c r="M255" t="inlineStr" s="0">
        <is>
          <t>BI-1163180</t>
        </is>
      </c>
      <c r="N255" t="inlineStr" s="0">
        <is>
          <t>01-Pre-Primaria / 02-Primaria</t>
        </is>
      </c>
      <c r="O255" t="inlineStr" s="0">
        <is>
          <t>Conciliado con extracto BI 01/09/2026</t>
        </is>
      </c>
    </row>
    <row r="256">
      <c r="A256" t="inlineStr" s="0">
        <is>
          <t>ALT-26-255</t>
        </is>
      </c>
      <c r="B256" t="inlineStr" s="0">
        <is>
          <t>2026-09-01</t>
        </is>
      </c>
      <c r="C256" t="inlineStr" s="0">
        <is>
          <t>septiembre</t>
        </is>
      </c>
      <c r="D256" t="inlineStr" s="0">
        <is>
          <t>Cobro mensualidad septiembre Gabriel Ruíz</t>
        </is>
      </c>
      <c r="E256" t="inlineStr" s="0">
        <is>
          <t>4102 - Colegiaturas Mensuales</t>
        </is>
      </c>
      <c r="F256" t="str" s="0">
        <f>IF(E256="","",IFERROR(VLOOKUP(E256,Config!$F$2:$G$60,2,FALSE),"Gasto"))</f>
        <v>Ingreso</v>
      </c>
      <c r="G256" s="2">
        <v>9300.0</v>
      </c>
      <c r="H256" s="2">
        <f>IF(G256="","",IF(IFERROR(VLOOKUP(E256,Config!$F$2:$H$60,3,FALSE),"Exento")="Afecto",ROUND(G256-(G256/1.12),2),0))</f>
        <v>0.0</v>
      </c>
      <c r="I256" s="2">
        <f>IF(G256="","",ROUND(G256-H256,2))</f>
        <v>9300.0</v>
      </c>
      <c r="J256" t="inlineStr" s="0">
        <is>
          <t>BI- Monetaria</t>
        </is>
      </c>
      <c r="K256" s="3">
        <f>IF(G256="","",ROUND(K255+IF(J256="BI-Ahorro",0,IF(F256="Gasto",-G256,G256)),2))</f>
        <v>63713.95</v>
      </c>
      <c r="L256" s="2">
        <f>IF(G256="","",ROUND(L255+IF(LEFT(E256,4)="2102",G256,IF(J256="BI-Ahorro",-G256,0)),2))</f>
        <v>81745.58</v>
      </c>
      <c r="M256" t="inlineStr" s="0">
        <is>
          <t>BI-1224897</t>
        </is>
      </c>
      <c r="N256" t="inlineStr" s="0">
        <is>
          <t>01-Pre-Primaria / 02-Primaria</t>
        </is>
      </c>
      <c r="O256" t="inlineStr" s="0">
        <is>
          <t>Conciliado con extracto BI 01/09/2026</t>
        </is>
      </c>
    </row>
    <row r="257">
      <c r="A257" t="inlineStr" s="0">
        <is>
          <t>ALT-26-256</t>
        </is>
      </c>
      <c r="B257" t="inlineStr" s="0">
        <is>
          <t>2026-09-01</t>
        </is>
      </c>
      <c r="C257" t="inlineStr" s="0">
        <is>
          <t>septiembre</t>
        </is>
      </c>
      <c r="D257" t="inlineStr" s="0">
        <is>
          <t>Débito BiCheque comisión manejo de cuenta septiembre</t>
        </is>
      </c>
      <c r="E257" t="inlineStr" s="0">
        <is>
          <t>5210 - Impuestos, tasas y arbitrios</t>
        </is>
      </c>
      <c r="F257" t="str" s="0">
        <f>IF(E257="","",IFERROR(VLOOKUP(E257,Config!$F$2:$G$60,2,FALSE),"Gasto"))</f>
        <v>Gasto</v>
      </c>
      <c r="G257" s="2">
        <v>15.0</v>
      </c>
      <c r="H257" s="2">
        <f>IF(G257="","",IF(IFERROR(VLOOKUP(E257,Config!$F$2:$H$60,3,FALSE),"Exento")="Afecto",ROUND(G257-(G257/1.12),2),0))</f>
        <v>0.0</v>
      </c>
      <c r="I257" s="2">
        <f>IF(G257="","",ROUND(G257-H257,2))</f>
        <v>15.0</v>
      </c>
      <c r="J257" t="inlineStr" s="0">
        <is>
          <t>BI- Monetaria</t>
        </is>
      </c>
      <c r="K257" s="3">
        <f>IF(G257="","",ROUND(K256+IF(J257="BI-Ahorro",0,IF(F257="Gasto",-G257,G257)),2))</f>
        <v>63698.95</v>
      </c>
      <c r="L257" s="2">
        <f>IF(G257="","",ROUND(L256+IF(LEFT(E257,4)="2102",G257,IF(J257="BI-Ahorro",-G257,0)),2))</f>
        <v>81745.58</v>
      </c>
      <c r="M257" t="inlineStr" s="0">
        <is>
          <t>BI-309025</t>
        </is>
      </c>
      <c r="N257" t="inlineStr" s="0">
        <is>
          <t>00-Administración</t>
        </is>
      </c>
      <c r="O257" t="inlineStr" s="0">
        <is>
          <t>Agregado según extracto BI 01/09/2026 (DEBITO BICHEQUE)</t>
        </is>
      </c>
    </row>
    <row r="258">
      <c r="A258" t="inlineStr" s="0">
        <is>
          <t>ALT-26-257</t>
        </is>
      </c>
      <c r="B258" t="inlineStr" s="0">
        <is>
          <t>2026-09-02</t>
        </is>
      </c>
      <c r="C258" t="inlineStr" s="0">
        <is>
          <t>septiembre</t>
        </is>
      </c>
      <c r="D258" t="inlineStr" s="0">
        <is>
          <t>Google Workspace_altus US</t>
        </is>
      </c>
      <c r="E258" t="inlineStr" s="0">
        <is>
          <t>5212 - Telecomunicaciones e internet</t>
        </is>
      </c>
      <c r="F258" t="str" s="0">
        <f>IF(E258="","",IFERROR(VLOOKUP(E258,Config!$F$2:$G$60,2,FALSE),"Gasto"))</f>
        <v>Gasto</v>
      </c>
      <c r="G258" s="2">
        <v>234.96</v>
      </c>
      <c r="H258" s="2">
        <f>IF(G258="","",IF(IFERROR(VLOOKUP(E258,Config!$F$2:$H$60,3,FALSE),"Exento")="Afecto",ROUND(G258-(G258/1.12),2),0))</f>
        <v>25.17</v>
      </c>
      <c r="I258" s="2">
        <f>IF(G258="","",ROUND(G258-H258,2))</f>
        <v>209.79</v>
      </c>
      <c r="J258" t="inlineStr" s="0">
        <is>
          <t>BI- Monetaria</t>
        </is>
      </c>
      <c r="K258" s="3">
        <f>IF(G258="","",ROUND(K257+IF(J258="BI-Ahorro",0,IF(F258="Gasto",-G258,G258)),2))</f>
        <v>63463.99</v>
      </c>
      <c r="L258" s="2">
        <f>IF(G258="","",ROUND(L257+IF(LEFT(E258,4)="2102",G258,IF(J258="BI-Ahorro",-G258,0)),2))</f>
        <v>81745.58</v>
      </c>
      <c r="M258" t="inlineStr" s="0">
        <is>
          <t>BI-123361</t>
        </is>
      </c>
      <c r="N258" t="inlineStr" s="0">
        <is>
          <t>00-Administración</t>
        </is>
      </c>
      <c r="O258" t="inlineStr" s="0">
        <is>
          <t>Conciliado con extracto BI 02/09/2026</t>
        </is>
      </c>
    </row>
    <row r="259">
      <c r="A259" t="inlineStr" s="0">
        <is>
          <t>ALT-26-258</t>
        </is>
      </c>
      <c r="B259" t="inlineStr" s="0">
        <is>
          <t>2026-09-02</t>
        </is>
      </c>
      <c r="C259" t="inlineStr" s="0">
        <is>
          <t>septiembre</t>
        </is>
      </c>
      <c r="D259" t="inlineStr" s="0">
        <is>
          <t>Compra Dollar City suministros</t>
        </is>
      </c>
      <c r="E259" t="inlineStr" s="0">
        <is>
          <t>5203 - Papelería, útiles y suministros</t>
        </is>
      </c>
      <c r="F259" t="str" s="0">
        <f>IF(E259="","",IFERROR(VLOOKUP(E259,Config!$F$2:$G$60,2,FALSE),"Gasto"))</f>
        <v>Gasto</v>
      </c>
      <c r="G259" s="2">
        <v>245.0</v>
      </c>
      <c r="H259" s="2">
        <f>IF(G259="","",IF(IFERROR(VLOOKUP(E259,Config!$F$2:$H$60,3,FALSE),"Exento")="Afecto",ROUND(G259-(G259/1.12),2),0))</f>
        <v>26.25</v>
      </c>
      <c r="I259" s="2">
        <f>IF(G259="","",ROUND(G259-H259,2))</f>
        <v>218.75</v>
      </c>
      <c r="J259" t="inlineStr" s="0">
        <is>
          <t>BI- Monetaria</t>
        </is>
      </c>
      <c r="K259" s="3">
        <f>IF(G259="","",ROUND(K258+IF(J259="BI-Ahorro",0,IF(F259="Gasto",-G259,G259)),2))</f>
        <v>63218.99</v>
      </c>
      <c r="L259" s="2">
        <f>IF(G259="","",ROUND(L258+IF(LEFT(E259,4)="2102",G259,IF(J259="BI-Ahorro",-G259,0)),2))</f>
        <v>81745.58</v>
      </c>
      <c r="M259" t="inlineStr" s="0">
        <is>
          <t>BI-2183529</t>
        </is>
      </c>
      <c r="N259" t="inlineStr" s="0">
        <is>
          <t>00-Administración</t>
        </is>
      </c>
      <c r="O259" t="inlineStr" s="0">
        <is>
          <t>Conciliado con extracto BI 02/09/2026</t>
        </is>
      </c>
    </row>
    <row r="260">
      <c r="A260" t="inlineStr" s="0">
        <is>
          <t>ALT-26-259</t>
        </is>
      </c>
      <c r="B260" t="inlineStr" s="0">
        <is>
          <t>2026-09-04</t>
        </is>
      </c>
      <c r="C260" t="inlineStr" s="0">
        <is>
          <t>septiembre</t>
        </is>
      </c>
      <c r="D260" t="inlineStr" s="0">
        <is>
          <t>Cobro mensualidad septiembre Adriana García</t>
        </is>
      </c>
      <c r="E260" t="inlineStr" s="0">
        <is>
          <t>4102 - Colegiaturas Mensuales</t>
        </is>
      </c>
      <c r="F260" t="str" s="0">
        <f>IF(E260="","",IFERROR(VLOOKUP(E260,Config!$F$2:$G$60,2,FALSE),"Gasto"))</f>
        <v>Ingreso</v>
      </c>
      <c r="G260" s="2">
        <v>9300.0</v>
      </c>
      <c r="H260" s="2">
        <f>IF(G260="","",IF(IFERROR(VLOOKUP(E260,Config!$F$2:$H$60,3,FALSE),"Exento")="Afecto",ROUND(G260-(G260/1.12),2),0))</f>
        <v>0.0</v>
      </c>
      <c r="I260" s="2">
        <f>IF(G260="","",ROUND(G260-H260,2))</f>
        <v>9300.0</v>
      </c>
      <c r="J260" t="inlineStr" s="0">
        <is>
          <t>BI- Monetaria</t>
        </is>
      </c>
      <c r="K260" s="3">
        <f>IF(G260="","",ROUND(K259+IF(J260="BI-Ahorro",0,IF(F260="Gasto",-G260,G260)),2))</f>
        <v>72518.99</v>
      </c>
      <c r="L260" s="2">
        <f>IF(G260="","",ROUND(L259+IF(LEFT(E260,4)="2102",G260,IF(J260="BI-Ahorro",-G260,0)),2))</f>
        <v>81745.58</v>
      </c>
      <c r="M260" t="inlineStr" s="0">
        <is>
          <t>BI-4169159</t>
        </is>
      </c>
      <c r="N260" t="inlineStr" s="0">
        <is>
          <t>01-Pre-Primaria / 02-Primaria</t>
        </is>
      </c>
      <c r="O260" t="inlineStr" s="0">
        <is>
          <t>Conciliado con extracto BI 04/09/2026</t>
        </is>
      </c>
    </row>
    <row r="261">
      <c r="A261" t="inlineStr" s="0">
        <is>
          <t>ALT-26-260</t>
        </is>
      </c>
      <c r="B261" t="inlineStr" s="0">
        <is>
          <t>2026-09-04</t>
        </is>
      </c>
      <c r="C261" t="inlineStr" s="0">
        <is>
          <t>septiembre</t>
        </is>
      </c>
      <c r="D261" t="inlineStr" s="0">
        <is>
          <t>Honorarios reparación ventana anticipo 1/2</t>
        </is>
      </c>
      <c r="E261" t="inlineStr" s="0">
        <is>
          <t>5209 - Honorarios profesionales</t>
        </is>
      </c>
      <c r="F261" t="str" s="0">
        <f>IF(E261="","",IFERROR(VLOOKUP(E261,Config!$F$2:$G$60,2,FALSE),"Gasto"))</f>
        <v>Gasto</v>
      </c>
      <c r="G261" s="2">
        <v>1550.0</v>
      </c>
      <c r="H261" s="2">
        <f>IF(G261="","",IF(IFERROR(VLOOKUP(E261,Config!$F$2:$H$60,3,FALSE),"Exento")="Afecto",ROUND(G261-(G261/1.12),2),0))</f>
        <v>166.07</v>
      </c>
      <c r="I261" s="2">
        <f>IF(G261="","",ROUND(G261-H261,2))</f>
        <v>1383.93</v>
      </c>
      <c r="J261" t="inlineStr" s="0">
        <is>
          <t>BI- Monetaria</t>
        </is>
      </c>
      <c r="K261" s="3">
        <f>IF(G261="","",ROUND(K260+IF(J261="BI-Ahorro",0,IF(F261="Gasto",-G261,G261)),2))</f>
        <v>70968.99</v>
      </c>
      <c r="L261" s="2">
        <f>IF(G261="","",ROUND(L260+IF(LEFT(E261,4)="2102",G261,IF(J261="BI-Ahorro",-G261,0)),2))</f>
        <v>81745.58</v>
      </c>
      <c r="M261" t="inlineStr" s="0">
        <is>
          <t>BI-4099839</t>
        </is>
      </c>
      <c r="N261" t="inlineStr" s="0">
        <is>
          <t>00-Administración</t>
        </is>
      </c>
      <c r="O261" t="inlineStr" s="0">
        <is>
          <t>Conciliado con extracto BI 04/09/2026</t>
        </is>
      </c>
    </row>
    <row r="262">
      <c r="A262" t="inlineStr" s="0">
        <is>
          <t>ALT-26-261</t>
        </is>
      </c>
      <c r="B262" t="inlineStr" s="0">
        <is>
          <t>2026-09-05</t>
        </is>
      </c>
      <c r="C262" t="inlineStr" s="0">
        <is>
          <t>septiembre</t>
        </is>
      </c>
      <c r="D262" t="inlineStr" s="0">
        <is>
          <t>Cobro mensualidad septiembre Luís Felipe Guzmán (Pamela Sosa)</t>
        </is>
      </c>
      <c r="E262" t="inlineStr" s="0">
        <is>
          <t>4102 - Colegiaturas Mensuales</t>
        </is>
      </c>
      <c r="F262" t="str" s="0">
        <f>IF(E262="","",IFERROR(VLOOKUP(E262,Config!$F$2:$G$60,2,FALSE),"Gasto"))</f>
        <v>Ingreso</v>
      </c>
      <c r="G262" s="2">
        <v>9300.0</v>
      </c>
      <c r="H262" s="2">
        <f>IF(G262="","",IF(IFERROR(VLOOKUP(E262,Config!$F$2:$H$60,3,FALSE),"Exento")="Afecto",ROUND(G262-(G262/1.12),2),0))</f>
        <v>0.0</v>
      </c>
      <c r="I262" s="2">
        <f>IF(G262="","",ROUND(G262-H262,2))</f>
        <v>9300.0</v>
      </c>
      <c r="J262" t="inlineStr" s="0">
        <is>
          <t>BI- Monetaria</t>
        </is>
      </c>
      <c r="K262" s="3">
        <f>IF(G262="","",ROUND(K261+IF(J262="BI-Ahorro",0,IF(F262="Gasto",-G262,G262)),2))</f>
        <v>80268.99</v>
      </c>
      <c r="L262" s="2">
        <f>IF(G262="","",ROUND(L261+IF(LEFT(E262,4)="2102",G262,IF(J262="BI-Ahorro",-G262,0)),2))</f>
        <v>81745.58</v>
      </c>
      <c r="M262" t="inlineStr" s="0">
        <is>
          <t>BI-5101701</t>
        </is>
      </c>
      <c r="N262" t="inlineStr" s="0">
        <is>
          <t>01-Pre-Primaria / 02-Primaria</t>
        </is>
      </c>
      <c r="O262" t="inlineStr" s="0">
        <is>
          <t>Conciliado con extracto BI 05/09/2026 (Actualizado en pestaña Colegiaturas S7 = Q9,300)</t>
        </is>
      </c>
    </row>
    <row r="263">
      <c r="A263" t="inlineStr" s="0">
        <is>
          <t>ALT-26-262</t>
        </is>
      </c>
      <c r="B263" t="inlineStr" s="0">
        <is>
          <t>2026-09-06</t>
        </is>
      </c>
      <c r="C263" t="inlineStr" s="0">
        <is>
          <t>septiembre</t>
        </is>
      </c>
      <c r="D263" t="inlineStr" s="0">
        <is>
          <t>Cobro mensualidad septiembre Giulia Fiorini (Agencia El Frutal)</t>
        </is>
      </c>
      <c r="E263" t="inlineStr" s="0">
        <is>
          <t>4102 - Colegiaturas Mensuales</t>
        </is>
      </c>
      <c r="F263" t="str" s="0">
        <f>IF(E263="","",IFERROR(VLOOKUP(E263,Config!$F$2:$G$60,2,FALSE),"Gasto"))</f>
        <v>Ingreso</v>
      </c>
      <c r="G263" s="2">
        <v>1850.0</v>
      </c>
      <c r="H263" s="2">
        <f>IF(G263="","",IF(IFERROR(VLOOKUP(E263,Config!$F$2:$H$60,3,FALSE),"Exento")="Afecto",ROUND(G263-(G263/1.12),2),0))</f>
        <v>0.0</v>
      </c>
      <c r="I263" s="2">
        <f>IF(G263="","",ROUND(G263-H263,2))</f>
        <v>1850.0</v>
      </c>
      <c r="J263" t="inlineStr" s="0">
        <is>
          <t>BI- Monetaria</t>
        </is>
      </c>
      <c r="K263" s="3">
        <f>IF(G263="","",ROUND(K262+IF(J263="BI-Ahorro",0,IF(F263="Gasto",-G263,G263)),2))</f>
        <v>82118.99</v>
      </c>
      <c r="L263" s="2">
        <f>IF(G263="","",ROUND(L262+IF(LEFT(E263,4)="2102",G263,IF(J263="BI-Ahorro",-G263,0)),2))</f>
        <v>81745.58</v>
      </c>
      <c r="M263" t="inlineStr" s="0">
        <is>
          <t>BI-14269407-A</t>
        </is>
      </c>
      <c r="N263" t="inlineStr" s="0">
        <is>
          <t>01-Pre-Primaria / 02-Primaria</t>
        </is>
      </c>
      <c r="O263" t="inlineStr" s="0">
        <is>
          <t>Parte de Docto 14269407 por Q2,158.34</t>
        </is>
      </c>
    </row>
    <row r="264">
      <c r="A264" t="inlineStr" s="0">
        <is>
          <t>ALT-26-263</t>
        </is>
      </c>
      <c r="B264" t="inlineStr" s="0">
        <is>
          <t>2026-09-06</t>
        </is>
      </c>
      <c r="C264" t="inlineStr" s="0">
        <is>
          <t>septiembre</t>
        </is>
      </c>
      <c r="D264" t="inlineStr" s="0">
        <is>
          <t>Cobro anticipo 6/6 inscripción Giulia Fiorini</t>
        </is>
      </c>
      <c r="E264" t="inlineStr" s="0">
        <is>
          <t>4101 - Inscripciones</t>
        </is>
      </c>
      <c r="F264" t="str" s="0">
        <f>IF(E264="","",IFERROR(VLOOKUP(E264,Config!$F$2:$G$60,2,FALSE),"Gasto"))</f>
        <v>Ingreso</v>
      </c>
      <c r="G264" s="2">
        <v>308.34</v>
      </c>
      <c r="H264" s="2">
        <f>IF(G264="","",IF(IFERROR(VLOOKUP(E264,Config!$F$2:$H$60,3,FALSE),"Exento")="Afecto",ROUND(G264-(G264/1.12),2),0))</f>
        <v>0.0</v>
      </c>
      <c r="I264" s="2">
        <f>IF(G264="","",ROUND(G264-H264,2))</f>
        <v>308.34</v>
      </c>
      <c r="J264" t="inlineStr" s="0">
        <is>
          <t>BI- Monetaria</t>
        </is>
      </c>
      <c r="K264" s="3">
        <f>IF(G264="","",ROUND(K263+IF(J264="BI-Ahorro",0,IF(F264="Gasto",-G264,G264)),2))</f>
        <v>82427.33</v>
      </c>
      <c r="L264" s="2">
        <f>IF(G264="","",ROUND(L263+IF(LEFT(E264,4)="2102",G264,IF(J264="BI-Ahorro",-G264,0)),2))</f>
        <v>81745.58</v>
      </c>
      <c r="M264" t="inlineStr" s="0">
        <is>
          <t>BI-14269407-B</t>
        </is>
      </c>
      <c r="N264" t="inlineStr" s="0">
        <is>
          <t>01-Pre-Primaria / 02-Primaria</t>
        </is>
      </c>
      <c r="O264" t="inlineStr" s="0">
        <is>
          <t>Ajustado de Q308.35 a Q308.34 según Docto 14269407 (Q2,158.34)</t>
        </is>
      </c>
    </row>
    <row r="265">
      <c r="A265" t="inlineStr" s="0">
        <is>
          <t>ALT-26-264</t>
        </is>
      </c>
      <c r="B265" t="inlineStr" s="0">
        <is>
          <t>2026-09-09</t>
        </is>
      </c>
      <c r="C265" t="inlineStr" s="0">
        <is>
          <t>septiembre</t>
        </is>
      </c>
      <c r="D265" t="inlineStr" s="0">
        <is>
          <t>Cobro mensualidad septiembre Mateo Toribio</t>
        </is>
      </c>
      <c r="E265" t="inlineStr" s="0">
        <is>
          <t>4102 - Colegiaturas Mensuales</t>
        </is>
      </c>
      <c r="F265" t="str" s="0">
        <f>IF(E265="","",IFERROR(VLOOKUP(E265,Config!$F$2:$G$60,2,FALSE),"Gasto"))</f>
        <v>Ingreso</v>
      </c>
      <c r="G265" s="2">
        <v>9300.0</v>
      </c>
      <c r="H265" s="2">
        <f>IF(G265="","",IF(IFERROR(VLOOKUP(E265,Config!$F$2:$H$60,3,FALSE),"Exento")="Afecto",ROUND(G265-(G265/1.12),2),0))</f>
        <v>0.0</v>
      </c>
      <c r="I265" s="2">
        <f>IF(G265="","",ROUND(G265-H265,2))</f>
        <v>9300.0</v>
      </c>
      <c r="J265" t="inlineStr" s="0">
        <is>
          <t>BI- Monetaria</t>
        </is>
      </c>
      <c r="K265" s="3">
        <f>IF(G265="","",ROUND(K264+IF(J265="BI-Ahorro",0,IF(F265="Gasto",-G265,G265)),2))</f>
        <v>91727.33</v>
      </c>
      <c r="L265" s="2">
        <f>IF(G265="","",ROUND(L264+IF(LEFT(E265,4)="2102",G265,IF(J265="BI-Ahorro",-G265,0)),2))</f>
        <v>81745.58</v>
      </c>
      <c r="M265" t="inlineStr" s="0">
        <is>
          <t>BI-9222400</t>
        </is>
      </c>
      <c r="N265" t="inlineStr" s="0">
        <is>
          <t>01-Pre-Primaria / 02-Primaria</t>
        </is>
      </c>
      <c r="O265" t="inlineStr" s="0">
        <is>
          <t>Conciliado con extracto BI 09/09/2026</t>
        </is>
      </c>
    </row>
    <row r="266">
      <c r="A266" t="inlineStr" s="0">
        <is>
          <t>ALT-26-265</t>
        </is>
      </c>
      <c r="B266" t="inlineStr" s="0">
        <is>
          <t>2026-09-16</t>
        </is>
      </c>
      <c r="C266" t="inlineStr" s="0">
        <is>
          <t>septiembre</t>
        </is>
      </c>
      <c r="D266" t="inlineStr" s="0">
        <is>
          <t>Cobro mensualidad septiembre Rodrigo Gallinsa</t>
        </is>
      </c>
      <c r="E266" t="inlineStr" s="0">
        <is>
          <t>4102 - Colegiaturas Mensuales</t>
        </is>
      </c>
      <c r="F266" t="str" s="0">
        <f>IF(E266="","",IFERROR(VLOOKUP(E266,Config!$F$2:$G$60,2,FALSE),"Gasto"))</f>
        <v>Ingreso</v>
      </c>
      <c r="G266" s="2">
        <v>6300.0</v>
      </c>
      <c r="H266" s="2">
        <f>IF(G266="","",IF(IFERROR(VLOOKUP(E266,Config!$F$2:$H$60,3,FALSE),"Exento")="Afecto",ROUND(G266-(G266/1.12),2),0))</f>
        <v>0.0</v>
      </c>
      <c r="I266" s="2">
        <f>IF(G266="","",ROUND(G266-H266,2))</f>
        <v>6300.0</v>
      </c>
      <c r="J266" t="inlineStr" s="0">
        <is>
          <t>BI- Monetaria</t>
        </is>
      </c>
      <c r="K266" s="3">
        <f>IF(G266="","",ROUND(K265+IF(J266="BI-Ahorro",0,IF(F266="Gasto",-G266,G266)),2))</f>
        <v>98027.33</v>
      </c>
      <c r="L266" s="2">
        <f>IF(G266="","",ROUND(L265+IF(LEFT(E266,4)="2102",G266,IF(J266="BI-Ahorro",-G266,0)),2))</f>
        <v>81745.58</v>
      </c>
      <c r="M266" t="inlineStr" s="0">
        <is>
          <t>BI-16160513</t>
        </is>
      </c>
      <c r="N266" t="inlineStr" s="0">
        <is>
          <t>01-Pre-Primaria / 02-Primaria</t>
        </is>
      </c>
      <c r="O266" t="inlineStr" s="0">
        <is>
          <t>Conciliado con extracto BI 16/09/2026</t>
        </is>
      </c>
    </row>
    <row r="267">
      <c r="A267" t="inlineStr" s="0">
        <is>
          <t>ALT-26-266</t>
        </is>
      </c>
      <c r="B267" t="inlineStr" s="0">
        <is>
          <t>2026-09-21</t>
        </is>
      </c>
      <c r="C267" t="inlineStr" s="0">
        <is>
          <t>septiembre</t>
        </is>
      </c>
      <c r="D267" t="inlineStr" s="0">
        <is>
          <t>Cobro anticipo 1/3 Inscripción 2027 Santiago Matta (ACH Juan José Mata)</t>
        </is>
      </c>
      <c r="E267" t="inlineStr" s="0">
        <is>
          <t>2107 - Anticipo de inscripciones</t>
        </is>
      </c>
      <c r="F267" t="str" s="0">
        <f>IF(E267="","",IFERROR(VLOOKUP(E267,Config!$F$2:$G$60,2,FALSE),"Gasto"))</f>
        <v>Pasivo</v>
      </c>
      <c r="G267" s="2">
        <v>4000.0</v>
      </c>
      <c r="H267" s="2">
        <f>IF(G267="","",IF(IFERROR(VLOOKUP(E267,Config!$F$2:$H$60,3,FALSE),"Exento")="Afecto",ROUND(G267-(G267/1.12),2),0))</f>
        <v>0.0</v>
      </c>
      <c r="I267" s="2">
        <f>IF(G267="","",ROUND(G267-H267,2))</f>
        <v>4000.0</v>
      </c>
      <c r="J267" t="inlineStr" s="0">
        <is>
          <t>BI- Monetaria</t>
        </is>
      </c>
      <c r="K267" s="3">
        <f>IF(G267="","",ROUND(K266+IF(J267="BI-Ahorro",0,IF(F267="Gasto",-G267,G267)),2))</f>
        <v>102027.33</v>
      </c>
      <c r="L267" s="2">
        <f>IF(G267="","",ROUND(L266+IF(LEFT(E267,4)="2102",G267,IF(J267="BI-Ahorro",-G267,0)),2))</f>
        <v>81745.58</v>
      </c>
      <c r="M267" t="inlineStr" s="0">
        <is>
          <t>BI-162290</t>
        </is>
      </c>
      <c r="N267" t="inlineStr" s="0">
        <is>
          <t>00-Administración</t>
        </is>
      </c>
      <c r="O267" t="inlineStr" s="0">
        <is>
          <t>Conciliado con extracto BI 21/09/2026</t>
        </is>
      </c>
    </row>
    <row r="268">
      <c r="A268" t="inlineStr" s="0">
        <is>
          <t>ALT-26-267</t>
        </is>
      </c>
      <c r="B268" t="inlineStr" s="0">
        <is>
          <t>2026-09-21</t>
        </is>
      </c>
      <c r="C268" t="inlineStr" s="0">
        <is>
          <t>septiembre</t>
        </is>
      </c>
      <c r="D268" t="inlineStr" s="0">
        <is>
          <t>Excursión Día del Niño</t>
        </is>
      </c>
      <c r="E268" t="inlineStr" s="0">
        <is>
          <t>5205 - Actividades y excursiones</t>
        </is>
      </c>
      <c r="F268" t="str" s="0">
        <f>IF(E268="","",IFERROR(VLOOKUP(E268,Config!$F$2:$G$60,2,FALSE),"Gasto"))</f>
        <v>Gasto</v>
      </c>
      <c r="G268" s="2">
        <v>260.0</v>
      </c>
      <c r="H268" s="2">
        <f>IF(G268="","",IF(IFERROR(VLOOKUP(E268,Config!$F$2:$H$60,3,FALSE),"Exento")="Afecto",ROUND(G268-(G268/1.12),2),0))</f>
        <v>27.86</v>
      </c>
      <c r="I268" s="2">
        <f>IF(G268="","",ROUND(G268-H268,2))</f>
        <v>232.14</v>
      </c>
      <c r="J268" t="inlineStr" s="0">
        <is>
          <t>BI- Monetaria</t>
        </is>
      </c>
      <c r="K268" s="3">
        <f>IF(G268="","",ROUND(K267+IF(J268="BI-Ahorro",0,IF(F268="Gasto",-G268,G268)),2))</f>
        <v>101767.33</v>
      </c>
      <c r="L268" s="2">
        <f>IF(G268="","",ROUND(L267+IF(LEFT(E268,4)="2102",G268,IF(J268="BI-Ahorro",-G268,0)),2))</f>
        <v>81745.58</v>
      </c>
      <c r="M268" t="inlineStr" s="0">
        <is>
          <t>BI-218928</t>
        </is>
      </c>
      <c r="N268" t="inlineStr" s="0">
        <is>
          <t>00-Administración</t>
        </is>
      </c>
      <c r="O268" t="inlineStr" s="0">
        <is>
          <t>Conciliado con extracto BI 21/09/2026</t>
        </is>
      </c>
    </row>
    <row r="269">
      <c r="A269" t="inlineStr" s="0">
        <is>
          <t>ALT-26-268</t>
        </is>
      </c>
      <c r="B269" t="inlineStr" s="0">
        <is>
          <t>2026-09-22</t>
        </is>
      </c>
      <c r="C269" t="inlineStr" s="0">
        <is>
          <t>septiembre</t>
        </is>
      </c>
      <c r="D269" t="inlineStr" s="0">
        <is>
          <t>Compra carretilla Novex San Cristóbal</t>
        </is>
      </c>
      <c r="E269" t="inlineStr" s="0">
        <is>
          <t>5207 - Otros Gastos (No Deducibles)</t>
        </is>
      </c>
      <c r="F269" t="str" s="0">
        <f>IF(E269="","",IFERROR(VLOOKUP(E269,Config!$F$2:$G$60,2,FALSE),"Gasto"))</f>
        <v>Gasto</v>
      </c>
      <c r="G269" s="2">
        <v>425.0</v>
      </c>
      <c r="H269" s="2">
        <f>IF(G269="","",IF(IFERROR(VLOOKUP(E269,Config!$F$2:$H$60,3,FALSE),"Exento")="Afecto",ROUND(G269-(G269/1.12),2),0))</f>
        <v>0.0</v>
      </c>
      <c r="I269" s="2">
        <f>IF(G269="","",ROUND(G269-H269,2))</f>
        <v>425.0</v>
      </c>
      <c r="J269" t="inlineStr" s="0">
        <is>
          <t>BI- Monetaria</t>
        </is>
      </c>
      <c r="K269" s="3">
        <f>IF(G269="","",ROUND(K268+IF(J269="BI-Ahorro",0,IF(F269="Gasto",-G269,G269)),2))</f>
        <v>101342.33</v>
      </c>
      <c r="L269" s="2">
        <f>IF(G269="","",ROUND(L268+IF(LEFT(E269,4)="2102",G269,IF(J269="BI-Ahorro",-G269,0)),2))</f>
        <v>81745.58</v>
      </c>
      <c r="M269" t="inlineStr" s="0">
        <is>
          <t>BI-148758</t>
        </is>
      </c>
      <c r="N269" t="inlineStr" s="0">
        <is>
          <t>00-Administración</t>
        </is>
      </c>
      <c r="O269" t="inlineStr" s="0">
        <is>
          <t>Conciliado con extracto BI 22/09/2026</t>
        </is>
      </c>
    </row>
    <row r="270">
      <c r="A270" t="inlineStr" s="0">
        <is>
          <t>ALT-26-269</t>
        </is>
      </c>
      <c r="B270" t="inlineStr" s="0">
        <is>
          <t>2026-09-22</t>
        </is>
      </c>
      <c r="C270" t="inlineStr" s="0">
        <is>
          <t>septiembre</t>
        </is>
      </c>
      <c r="D270" t="inlineStr" s="0">
        <is>
          <t>Pago extintor 1</t>
        </is>
      </c>
      <c r="E270" t="inlineStr" s="0">
        <is>
          <t>5207 - Otros Gastos (No Deducibles)</t>
        </is>
      </c>
      <c r="F270" t="str" s="0">
        <f>IF(E270="","",IFERROR(VLOOKUP(E270,Config!$F$2:$G$60,2,FALSE),"Gasto"))</f>
        <v>Gasto</v>
      </c>
      <c r="G270" s="2">
        <v>250.0</v>
      </c>
      <c r="H270" s="2">
        <f>IF(G270="","",IF(IFERROR(VLOOKUP(E270,Config!$F$2:$H$60,3,FALSE),"Exento")="Afecto",ROUND(G270-(G270/1.12),2),0))</f>
        <v>0.0</v>
      </c>
      <c r="I270" s="2">
        <f>IF(G270="","",ROUND(G270-H270,2))</f>
        <v>250.0</v>
      </c>
      <c r="J270" t="inlineStr" s="0">
        <is>
          <t>BI- Monetaria</t>
        </is>
      </c>
      <c r="K270" s="3">
        <f>IF(G270="","",ROUND(K269+IF(J270="BI-Ahorro",0,IF(F270="Gasto",-G270,G270)),2))</f>
        <v>101092.33</v>
      </c>
      <c r="L270" s="2">
        <f>IF(G270="","",ROUND(L269+IF(LEFT(E270,4)="2102",G270,IF(J270="BI-Ahorro",-G270,0)),2))</f>
        <v>81745.58</v>
      </c>
      <c r="M270" t="inlineStr" s="0">
        <is>
          <t>BI-22108017</t>
        </is>
      </c>
      <c r="N270" t="inlineStr" s="0">
        <is>
          <t>00-Administración</t>
        </is>
      </c>
      <c r="O270" t="inlineStr" s="0">
        <is>
          <t>Conciliado con extracto BI 22/09/2026</t>
        </is>
      </c>
    </row>
    <row r="271">
      <c r="A271" t="inlineStr" s="0">
        <is>
          <t>ALT-26-270</t>
        </is>
      </c>
      <c r="B271" t="inlineStr" s="0">
        <is>
          <t>2026-09-25</t>
        </is>
      </c>
      <c r="C271" t="inlineStr" s="0">
        <is>
          <t>septiembre</t>
        </is>
      </c>
      <c r="D271" t="inlineStr" s="0">
        <is>
          <t>Pago segundo extintor</t>
        </is>
      </c>
      <c r="E271" t="inlineStr" s="0">
        <is>
          <t>5207 - Otros Gastos (No Deducibles)</t>
        </is>
      </c>
      <c r="F271" t="str" s="0">
        <f>IF(E271="","",IFERROR(VLOOKUP(E271,Config!$F$2:$G$60,2,FALSE),"Gasto"))</f>
        <v>Gasto</v>
      </c>
      <c r="G271" s="2">
        <v>250.0</v>
      </c>
      <c r="H271" s="2">
        <f>IF(G271="","",IF(IFERROR(VLOOKUP(E271,Config!$F$2:$H$60,3,FALSE),"Exento")="Afecto",ROUND(G271-(G271/1.12),2),0))</f>
        <v>0.0</v>
      </c>
      <c r="I271" s="2">
        <f>IF(G271="","",ROUND(G271-H271,2))</f>
        <v>250.0</v>
      </c>
      <c r="J271" t="inlineStr" s="0">
        <is>
          <t>BI- Monetaria</t>
        </is>
      </c>
      <c r="K271" s="3">
        <f>IF(G271="","",ROUND(K270+IF(J271="BI-Ahorro",0,IF(F271="Gasto",-G271,G271)),2))</f>
        <v>100842.33</v>
      </c>
      <c r="L271" s="2">
        <f>IF(G271="","",ROUND(L270+IF(LEFT(E271,4)="2102",G271,IF(J271="BI-Ahorro",-G271,0)),2))</f>
        <v>81745.58</v>
      </c>
      <c r="M271" t="inlineStr" s="0">
        <is>
          <t>BI-25176197</t>
        </is>
      </c>
      <c r="N271" t="inlineStr" s="0">
        <is>
          <t>00-Administración</t>
        </is>
      </c>
      <c r="O271" t="inlineStr" s="0">
        <is>
          <t>Conciliado con extracto BI 25/09/2026</t>
        </is>
      </c>
    </row>
    <row r="272">
      <c r="A272" t="inlineStr" s="0">
        <is>
          <t>ALT-26-271</t>
        </is>
      </c>
      <c r="B272" t="inlineStr" s="0">
        <is>
          <t>2026-09-29</t>
        </is>
      </c>
      <c r="C272" t="inlineStr" s="0">
        <is>
          <t>septiembre</t>
        </is>
      </c>
      <c r="D272" t="inlineStr" s="0">
        <is>
          <t>Donación Fundación Waybi septiembre</t>
        </is>
      </c>
      <c r="E272" t="inlineStr" s="0">
        <is>
          <t>5208 - Donaciones</t>
        </is>
      </c>
      <c r="F272" t="str" s="0">
        <f>IF(E272="","",IFERROR(VLOOKUP(E272,Config!$F$2:$G$60,2,FALSE),"Gasto"))</f>
        <v>Gasto</v>
      </c>
      <c r="G272" s="2">
        <v>1700.0</v>
      </c>
      <c r="H272" s="2">
        <f>IF(G272="","",IF(IFERROR(VLOOKUP(E272,Config!$F$2:$H$60,3,FALSE),"Exento")="Afecto",ROUND(G272-(G272/1.12),2),0))</f>
        <v>182.14</v>
      </c>
      <c r="I272" s="2">
        <f>IF(G272="","",ROUND(G272-H272,2))</f>
        <v>1517.86</v>
      </c>
      <c r="J272" t="inlineStr" s="0">
        <is>
          <t>BI- Monetaria</t>
        </is>
      </c>
      <c r="K272" s="3">
        <f>IF(G272="","",ROUND(K271+IF(J272="BI-Ahorro",0,IF(F272="Gasto",-G272,G272)),2))</f>
        <v>99142.33</v>
      </c>
      <c r="L272" s="2">
        <f>IF(G272="","",ROUND(L271+IF(LEFT(E272,4)="2102",G272,IF(J272="BI-Ahorro",-G272,0)),2))</f>
        <v>81745.58</v>
      </c>
      <c r="M272" t="inlineStr" s="0">
        <is>
          <t>BI-99935</t>
        </is>
      </c>
      <c r="N272" t="inlineStr" s="0">
        <is>
          <t>00-Administración</t>
        </is>
      </c>
      <c r="O272" t="inlineStr" s="0">
        <is>
          <t>Conciliado con extracto BI 29/09/2026</t>
        </is>
      </c>
    </row>
    <row r="273">
      <c r="A273" t="inlineStr" s="0">
        <is>
          <t>ALT-26-272</t>
        </is>
      </c>
      <c r="B273" t="inlineStr" s="0">
        <is>
          <t>2026-09-29</t>
        </is>
      </c>
      <c r="C273" t="inlineStr" s="0">
        <is>
          <t>septiembre</t>
        </is>
      </c>
      <c r="D273" t="inlineStr" s="0">
        <is>
          <t>Pago sueldo septiembre Jessica Gudiel</t>
        </is>
      </c>
      <c r="E273" t="inlineStr" s="0">
        <is>
          <t>5101 - Sueldos y Salarios</t>
        </is>
      </c>
      <c r="F273" t="str" s="0">
        <f>IF(E273="","",IFERROR(VLOOKUP(E273,Config!$F$2:$G$60,2,FALSE),"Gasto"))</f>
        <v>Gasto</v>
      </c>
      <c r="G273" s="2">
        <v>5862.19</v>
      </c>
      <c r="H273" s="2">
        <f>IF(G273="","",IF(IFERROR(VLOOKUP(E273,Config!$F$2:$H$60,3,FALSE),"Exento")="Afecto",ROUND(G273-(G273/1.12),2),0))</f>
        <v>0.0</v>
      </c>
      <c r="I273" s="2">
        <f>IF(G273="","",ROUND(G273-H273,2))</f>
        <v>5862.19</v>
      </c>
      <c r="J273" t="inlineStr" s="0">
        <is>
          <t>BI- Monetaria</t>
        </is>
      </c>
      <c r="K273" s="3">
        <f>IF(G273="","",ROUND(K272+IF(J273="BI-Ahorro",0,IF(F273="Gasto",-G273,G273)),2))</f>
        <v>93280.14</v>
      </c>
      <c r="L273" s="2">
        <f>IF(G273="","",ROUND(L272+IF(LEFT(E273,4)="2102",G273,IF(J273="BI-Ahorro",-G273,0)),2))</f>
        <v>81745.58</v>
      </c>
      <c r="M273" t="inlineStr" s="0">
        <is>
          <t>BI-109817</t>
        </is>
      </c>
      <c r="N273" t="inlineStr" s="0">
        <is>
          <t>00-Administración</t>
        </is>
      </c>
      <c r="O273" t="inlineStr" s="0">
        <is>
          <t>Conciliado con extracto BI 29/09/2026</t>
        </is>
      </c>
    </row>
    <row r="274">
      <c r="A274" t="inlineStr" s="0">
        <is>
          <t>ALT-26-273</t>
        </is>
      </c>
      <c r="B274" t="inlineStr" s="0">
        <is>
          <t>2026-09-29</t>
        </is>
      </c>
      <c r="C274" t="inlineStr" s="0">
        <is>
          <t>septiembre</t>
        </is>
      </c>
      <c r="D274" t="inlineStr" s="0">
        <is>
          <t>Pago sueldo septiembre Geovanna Velázquez</t>
        </is>
      </c>
      <c r="E274" t="inlineStr" s="0">
        <is>
          <t>5101 - Sueldos y Salarios</t>
        </is>
      </c>
      <c r="F274" t="str" s="0">
        <f>IF(E274="","",IFERROR(VLOOKUP(E274,Config!$F$2:$G$60,2,FALSE),"Gasto"))</f>
        <v>Gasto</v>
      </c>
      <c r="G274" s="2">
        <v>4234.78</v>
      </c>
      <c r="H274" s="2">
        <f>IF(G274="","",IF(IFERROR(VLOOKUP(E274,Config!$F$2:$H$60,3,FALSE),"Exento")="Afecto",ROUND(G274-(G274/1.12),2),0))</f>
        <v>0.0</v>
      </c>
      <c r="I274" s="2">
        <f>IF(G274="","",ROUND(G274-H274,2))</f>
        <v>4234.78</v>
      </c>
      <c r="J274" t="inlineStr" s="0">
        <is>
          <t>BI- Monetaria</t>
        </is>
      </c>
      <c r="K274" s="3">
        <f>IF(G274="","",ROUND(K273+IF(J274="BI-Ahorro",0,IF(F274="Gasto",-G274,G274)),2))</f>
        <v>89045.36</v>
      </c>
      <c r="L274" s="2">
        <f>IF(G274="","",ROUND(L273+IF(LEFT(E274,4)="2102",G274,IF(J274="BI-Ahorro",-G274,0)),2))</f>
        <v>81745.58</v>
      </c>
      <c r="M274" t="inlineStr" s="0">
        <is>
          <t>BI-132249</t>
        </is>
      </c>
      <c r="N274" t="inlineStr" s="0">
        <is>
          <t>00-Administración</t>
        </is>
      </c>
      <c r="O274" t="inlineStr" s="0">
        <is>
          <t>Conciliado con extracto BI 29/09/2026</t>
        </is>
      </c>
    </row>
    <row r="275">
      <c r="A275" t="inlineStr" s="0">
        <is>
          <t>ALT-26-274</t>
        </is>
      </c>
      <c r="B275" t="inlineStr" s="0">
        <is>
          <t>2026-09-29</t>
        </is>
      </c>
      <c r="C275" t="inlineStr" s="0">
        <is>
          <t>septiembre</t>
        </is>
      </c>
      <c r="D275" t="inlineStr" s="0">
        <is>
          <t>Pago sueldo septiembre Suly Sajbochol</t>
        </is>
      </c>
      <c r="E275" t="inlineStr" s="0">
        <is>
          <t>5101 - Sueldos y Salarios</t>
        </is>
      </c>
      <c r="F275" t="str" s="0">
        <f>IF(E275="","",IFERROR(VLOOKUP(E275,Config!$F$2:$G$60,2,FALSE),"Gasto"))</f>
        <v>Gasto</v>
      </c>
      <c r="G275" s="2">
        <v>4234.78</v>
      </c>
      <c r="H275" s="2">
        <f>IF(G275="","",IF(IFERROR(VLOOKUP(E275,Config!$F$2:$H$60,3,FALSE),"Exento")="Afecto",ROUND(G275-(G275/1.12),2),0))</f>
        <v>0.0</v>
      </c>
      <c r="I275" s="2">
        <f>IF(G275="","",ROUND(G275-H275,2))</f>
        <v>4234.78</v>
      </c>
      <c r="J275" t="inlineStr" s="0">
        <is>
          <t>BI- Monetaria</t>
        </is>
      </c>
      <c r="K275" s="3">
        <f>IF(G275="","",ROUND(K274+IF(J275="BI-Ahorro",0,IF(F275="Gasto",-G275,G275)),2))</f>
        <v>84810.58</v>
      </c>
      <c r="L275" s="2">
        <f>IF(G275="","",ROUND(L274+IF(LEFT(E275,4)="2102",G275,IF(J275="BI-Ahorro",-G275,0)),2))</f>
        <v>81745.58</v>
      </c>
      <c r="M275" t="inlineStr" s="0">
        <is>
          <t>BI-147240</t>
        </is>
      </c>
      <c r="N275" t="inlineStr" s="0">
        <is>
          <t>00-Administración</t>
        </is>
      </c>
      <c r="O275" t="inlineStr" s="0">
        <is>
          <t>Conciliado con extracto BI 29/09/2026</t>
        </is>
      </c>
    </row>
    <row r="276">
      <c r="A276" t="inlineStr" s="0">
        <is>
          <t>ALT-26-275</t>
        </is>
      </c>
      <c r="B276" t="inlineStr" s="0">
        <is>
          <t>2026-09-29</t>
        </is>
      </c>
      <c r="C276" t="inlineStr" s="0">
        <is>
          <t>septiembre</t>
        </is>
      </c>
      <c r="D276" t="inlineStr" s="0">
        <is>
          <t>Pago sueldo septiembre Melissa Peña</t>
        </is>
      </c>
      <c r="E276" t="inlineStr" s="0">
        <is>
          <t>5101 - Sueldos y Salarios</t>
        </is>
      </c>
      <c r="F276" t="str" s="0">
        <f>IF(E276="","",IFERROR(VLOOKUP(E276,Config!$F$2:$G$60,2,FALSE),"Gasto"))</f>
        <v>Gasto</v>
      </c>
      <c r="G276" s="2">
        <v>4234.78</v>
      </c>
      <c r="H276" s="2">
        <f>IF(G276="","",IF(IFERROR(VLOOKUP(E276,Config!$F$2:$H$60,3,FALSE),"Exento")="Afecto",ROUND(G276-(G276/1.12),2),0))</f>
        <v>0.0</v>
      </c>
      <c r="I276" s="2">
        <f>IF(G276="","",ROUND(G276-H276,2))</f>
        <v>4234.78</v>
      </c>
      <c r="J276" t="inlineStr" s="0">
        <is>
          <t>BI- Monetaria</t>
        </is>
      </c>
      <c r="K276" s="3">
        <f>IF(G276="","",ROUND(K275+IF(J276="BI-Ahorro",0,IF(F276="Gasto",-G276,G276)),2))</f>
        <v>80575.8</v>
      </c>
      <c r="L276" s="2">
        <f>IF(G276="","",ROUND(L275+IF(LEFT(E276,4)="2102",G276,IF(J276="BI-Ahorro",-G276,0)),2))</f>
        <v>81745.58</v>
      </c>
      <c r="M276" t="inlineStr" s="0">
        <is>
          <t>BI-167114</t>
        </is>
      </c>
      <c r="N276" t="inlineStr" s="0">
        <is>
          <t>00-Administración</t>
        </is>
      </c>
      <c r="O276" t="inlineStr" s="0">
        <is>
          <t>Conciliado con extracto BI 29/09/2026</t>
        </is>
      </c>
    </row>
    <row r="277">
      <c r="A277" t="inlineStr" s="0">
        <is>
          <t>ALT-26-276</t>
        </is>
      </c>
      <c r="B277" t="inlineStr" s="0">
        <is>
          <t>2026-09-29</t>
        </is>
      </c>
      <c r="C277" t="inlineStr" s="0">
        <is>
          <t>septiembre</t>
        </is>
      </c>
      <c r="D277" t="inlineStr" s="0">
        <is>
          <t>Pago agencia redes sociales Isa González</t>
        </is>
      </c>
      <c r="E277" t="inlineStr" s="0">
        <is>
          <t>5204 - Marketing y Publicidad</t>
        </is>
      </c>
      <c r="F277" t="str" s="0">
        <f>IF(E277="","",IFERROR(VLOOKUP(E277,Config!$F$2:$G$60,2,FALSE),"Gasto"))</f>
        <v>Gasto</v>
      </c>
      <c r="G277" s="2">
        <v>1600.0</v>
      </c>
      <c r="H277" s="2">
        <f>IF(G277="","",IF(IFERROR(VLOOKUP(E277,Config!$F$2:$H$60,3,FALSE),"Exento")="Afecto",ROUND(G277-(G277/1.12),2),0))</f>
        <v>171.43</v>
      </c>
      <c r="I277" s="2">
        <f>IF(G277="","",ROUND(G277-H277,2))</f>
        <v>1428.57</v>
      </c>
      <c r="J277" t="inlineStr" s="0">
        <is>
          <t>BI- Monetaria</t>
        </is>
      </c>
      <c r="K277" s="3">
        <f>IF(G277="","",ROUND(K276+IF(J277="BI-Ahorro",0,IF(F277="Gasto",-G277,G277)),2))</f>
        <v>78975.8</v>
      </c>
      <c r="L277" s="2">
        <f>IF(G277="","",ROUND(L276+IF(LEFT(E277,4)="2102",G277,IF(J277="BI-Ahorro",-G277,0)),2))</f>
        <v>81745.58</v>
      </c>
      <c r="M277" t="inlineStr" s="0">
        <is>
          <t>BI-29114366</t>
        </is>
      </c>
      <c r="N277" t="inlineStr" s="0">
        <is>
          <t>00-Administración</t>
        </is>
      </c>
      <c r="O277" t="inlineStr" s="0">
        <is>
          <t>Conciliado con extracto BI 29/09/2026 (Docto 29114366: 5204 AGENCIA REDES SOCIALES)</t>
        </is>
      </c>
    </row>
    <row r="278">
      <c r="A278" t="inlineStr" s="0">
        <is>
          <t>ALT-26-277</t>
        </is>
      </c>
      <c r="B278" t="inlineStr" s="0">
        <is>
          <t>2026-09-29</t>
        </is>
      </c>
      <c r="C278" t="inlineStr" s="0">
        <is>
          <t>septiembre</t>
        </is>
      </c>
      <c r="D278" t="inlineStr" s="0">
        <is>
          <t>Pago sueldo septiembre Lucía Montes</t>
        </is>
      </c>
      <c r="E278" t="inlineStr" s="0">
        <is>
          <t>5101 - Sueldos y Salarios</t>
        </is>
      </c>
      <c r="F278" t="str" s="0">
        <f>IF(E278="","",IFERROR(VLOOKUP(E278,Config!$F$2:$G$60,2,FALSE),"Gasto"))</f>
        <v>Gasto</v>
      </c>
      <c r="G278" s="2">
        <v>8574.54</v>
      </c>
      <c r="H278" s="2">
        <f>IF(G278="","",IF(IFERROR(VLOOKUP(E278,Config!$F$2:$H$60,3,FALSE),"Exento")="Afecto",ROUND(G278-(G278/1.12),2),0))</f>
        <v>0.0</v>
      </c>
      <c r="I278" s="2">
        <f>IF(G278="","",ROUND(G278-H278,2))</f>
        <v>8574.54</v>
      </c>
      <c r="J278" t="inlineStr" s="0">
        <is>
          <t>BI- Monetaria</t>
        </is>
      </c>
      <c r="K278" s="3">
        <f>IF(G278="","",ROUND(K277+IF(J278="BI-Ahorro",0,IF(F278="Gasto",-G278,G278)),2))</f>
        <v>70401.26</v>
      </c>
      <c r="L278" s="2">
        <f>IF(G278="","",ROUND(L277+IF(LEFT(E278,4)="2102",G278,IF(J278="BI-Ahorro",-G278,0)),2))</f>
        <v>81745.58</v>
      </c>
      <c r="M278" t="inlineStr" s="0">
        <is>
          <t>BI-29116957</t>
        </is>
      </c>
      <c r="N278" t="inlineStr" s="0">
        <is>
          <t>00-Administración</t>
        </is>
      </c>
      <c r="O278" t="inlineStr" s="0">
        <is>
          <t>Conciliado con extracto BI 29/09/2026 (Q8,574.54 exactos)</t>
        </is>
      </c>
    </row>
    <row r="279">
      <c r="A279" t="inlineStr" s="0">
        <is>
          <t>ALT-26-278</t>
        </is>
      </c>
      <c r="B279" t="inlineStr" s="0">
        <is>
          <t>2026-09-29</t>
        </is>
      </c>
      <c r="C279" t="inlineStr" s="0">
        <is>
          <t>septiembre</t>
        </is>
      </c>
      <c r="D279" t="inlineStr" s="0">
        <is>
          <t>Pago celular ALTUS septiembre</t>
        </is>
      </c>
      <c r="E279" t="inlineStr" s="0">
        <is>
          <t>5212 - Telecomunicaciones e internet</t>
        </is>
      </c>
      <c r="F279" t="str" s="0">
        <f>IF(E279="","",IFERROR(VLOOKUP(E279,Config!$F$2:$G$60,2,FALSE),"Gasto"))</f>
        <v>Gasto</v>
      </c>
      <c r="G279" s="2">
        <v>285.0</v>
      </c>
      <c r="H279" s="2">
        <f>IF(G279="","",IF(IFERROR(VLOOKUP(E279,Config!$F$2:$H$60,3,FALSE),"Exento")="Afecto",ROUND(G279-(G279/1.12),2),0))</f>
        <v>30.54</v>
      </c>
      <c r="I279" s="2">
        <f>IF(G279="","",ROUND(G279-H279,2))</f>
        <v>254.46</v>
      </c>
      <c r="J279" t="inlineStr" s="0">
        <is>
          <t>BI- Monetaria</t>
        </is>
      </c>
      <c r="K279" s="3">
        <f>IF(G279="","",ROUND(K278+IF(J279="BI-Ahorro",0,IF(F279="Gasto",-G279,G279)),2))</f>
        <v>70116.26</v>
      </c>
      <c r="L279" s="2">
        <f>IF(G279="","",ROUND(L278+IF(LEFT(E279,4)="2102",G279,IF(J279="BI-Ahorro",-G279,0)),2))</f>
        <v>81745.58</v>
      </c>
      <c r="M279" t="inlineStr" s="0">
        <is>
          <t>BI-29152215</t>
        </is>
      </c>
      <c r="N279" t="inlineStr" s="0">
        <is>
          <t>00-Administración</t>
        </is>
      </c>
      <c r="O279" t="inlineStr" s="0">
        <is>
          <t>Conciliado con extracto BI 29/09/2026</t>
        </is>
      </c>
    </row>
    <row r="280">
      <c r="A280" t="inlineStr" s="0">
        <is>
          <t>ALT-26-279</t>
        </is>
      </c>
      <c r="B280" t="inlineStr" s="0">
        <is>
          <t>2026-09-29</t>
        </is>
      </c>
      <c r="C280" t="inlineStr" s="0">
        <is>
          <t>septiembre</t>
        </is>
      </c>
      <c r="D280" t="inlineStr" s="0">
        <is>
          <t>Provisiones laborales septiembre (Traslado a BI-Ahorro)</t>
        </is>
      </c>
      <c r="E280" t="inlineStr" s="0">
        <is>
          <t>2102 - Provisiones Laborales</t>
        </is>
      </c>
      <c r="F280" t="str" s="0">
        <f>IF(E280="","",IFERROR(VLOOKUP(E280,Config!$F$2:$G$60,2,FALSE),"Gasto"))</f>
        <v>Gasto</v>
      </c>
      <c r="G280" s="2">
        <v>11551.09</v>
      </c>
      <c r="H280" s="2">
        <f>IF(G280="","",IF(IFERROR(VLOOKUP(E280,Config!$F$2:$H$60,3,FALSE),"Exento")="Afecto",ROUND(G280-(G280/1.12),2),0))</f>
        <v>0.0</v>
      </c>
      <c r="I280" s="2">
        <f>IF(G280="","",ROUND(G280-H280,2))</f>
        <v>11551.09</v>
      </c>
      <c r="J280" t="inlineStr" s="0">
        <is>
          <t>BI- Monetaria</t>
        </is>
      </c>
      <c r="K280" s="3">
        <f>IF(G280="","",ROUND(K279+IF(J280="BI-Ahorro",0,IF(F280="Gasto",-G280,G280)),2))</f>
        <v>58565.17</v>
      </c>
      <c r="L280" s="2">
        <f>IF(G280="","",ROUND(L279+IF(LEFT(E280,4)="2102",G280,IF(J280="BI-Ahorro",-G280,0)),2))</f>
        <v>93296.67</v>
      </c>
      <c r="M280" t="inlineStr" s="0">
        <is>
          <t>BI-29180131</t>
        </is>
      </c>
      <c r="N280" t="inlineStr" s="0">
        <is>
          <t>00-Administración</t>
        </is>
      </c>
      <c r="O280" t="inlineStr" s="0">
        <is>
          <t>Conciliado con extracto BI 29/09/2026</t>
        </is>
      </c>
    </row>
    <row r="281">
      <c r="A281" t="inlineStr" s="0">
        <is>
          <t>ALT-26-280</t>
        </is>
      </c>
      <c r="B281" t="inlineStr" s="0">
        <is>
          <t>2026-09-29</t>
        </is>
      </c>
      <c r="C281" t="inlineStr" s="0">
        <is>
          <t>septiembre</t>
        </is>
      </c>
      <c r="D281" t="inlineStr" s="0">
        <is>
          <t>Pago planilla IGSS (desde cuenta BI-Ahorro)</t>
        </is>
      </c>
      <c r="E281" t="inlineStr" s="0">
        <is>
          <t>2103 - IGSS por Pagar</t>
        </is>
      </c>
      <c r="F281" t="str" s="0">
        <f>IF(E281="","",IFERROR(VLOOKUP(E281,Config!$F$2:$G$60,2,FALSE),"Gasto"))</f>
        <v>Gasto</v>
      </c>
      <c r="G281" s="2">
        <v>4278.0</v>
      </c>
      <c r="H281" s="2">
        <f>IF(G281="","",IF(IFERROR(VLOOKUP(E281,Config!$F$2:$H$60,3,FALSE),"Exento")="Afecto",ROUND(G281-(G281/1.12),2),0))</f>
        <v>0.0</v>
      </c>
      <c r="I281" s="2">
        <f>IF(G281="","",ROUND(G281-H281,2))</f>
        <v>4278.0</v>
      </c>
      <c r="J281" t="inlineStr" s="0">
        <is>
          <t>BI-Ahorro</t>
        </is>
      </c>
      <c r="K281" s="3">
        <f>IF(G281="","",ROUND(K280+IF(J281="BI-Ahorro",0,IF(F281="Gasto",-G281,G281)),2))</f>
        <v>58565.17</v>
      </c>
      <c r="L281" s="2">
        <f>IF(G281="","",ROUND(L280+IF(LEFT(E281,4)="2102",G281,IF(J281="BI-Ahorro",-G281,0)),2))</f>
        <v>89018.67</v>
      </c>
      <c r="M281" t="inlineStr" s="0">
        <is>
          <t>AHO-IGSS-09</t>
        </is>
      </c>
      <c r="N281" t="inlineStr" s="0">
        <is>
          <t>00-Administración</t>
        </is>
      </c>
      <c r="O281" t="inlineStr" s="0">
        <is>
          <t>Corregido origen de BI-Monetaria a BI-Ahorro (no aparece en extracto Monetaria 2061406126 porque se paga desde Ahorro)</t>
        </is>
      </c>
    </row>
    <row r="282">
      <c r="A282" t="inlineStr" s="0">
        <is>
          <t>ALT-26-281</t>
        </is>
      </c>
      <c r="B282" t="inlineStr" s="0">
        <is>
          <t>2026-10-01</t>
        </is>
      </c>
      <c r="C282" t="inlineStr" s="0">
        <is>
          <t>octubre</t>
        </is>
      </c>
      <c r="D282" t="inlineStr" s="0">
        <is>
          <t>Cobro mensualidad octubre Gabriel Ruíz</t>
        </is>
      </c>
      <c r="E282" t="inlineStr" s="0">
        <is>
          <t>4102 - Colegiaturas Mensuales</t>
        </is>
      </c>
      <c r="F282" t="str" s="0">
        <f>IF(E282="","",IFERROR(VLOOKUP(E282,Config!$F$2:$G$60,2,FALSE),"Gasto"))</f>
        <v>Ingreso</v>
      </c>
      <c r="G282" s="2">
        <v>9300.0</v>
      </c>
      <c r="H282" s="2">
        <f>IF(G282="","",IF(IFERROR(VLOOKUP(E282,Config!$F$2:$H$60,3,FALSE),"Exento")="Afecto",ROUND(G282-(G282/1.12),2),0))</f>
        <v>0.0</v>
      </c>
      <c r="I282" s="2">
        <f>IF(G282="","",ROUND(G282-H282,2))</f>
        <v>9300.0</v>
      </c>
      <c r="J282" t="inlineStr" s="0">
        <is>
          <t>BI- Monetaria</t>
        </is>
      </c>
      <c r="K282" s="3">
        <f>IF(G282="","",ROUND(K281+IF(J282="BI-Ahorro",0,IF(F282="Gasto",-G282,G282)),2))</f>
        <v>67865.17</v>
      </c>
      <c r="L282" s="2">
        <f>IF(G282="","",ROUND(L281+IF(LEFT(E282,4)="2102",G282,IF(J282="BI-Ahorro",-G282,0)),2))</f>
        <v>89018.67</v>
      </c>
      <c r="M282" t="inlineStr" s="0">
        <is>
          <t>BI-1266971</t>
        </is>
      </c>
      <c r="N282" t="inlineStr" s="0">
        <is>
          <t>01-Pre-Primaria / 02-Primaria</t>
        </is>
      </c>
      <c r="O282" t="inlineStr" s="0">
        <is>
          <t>Conciliado con extracto BI 01/10/2026</t>
        </is>
      </c>
    </row>
    <row r="283">
      <c r="A283" t="inlineStr" s="0">
        <is>
          <t>ALT-26-282</t>
        </is>
      </c>
      <c r="B283" t="inlineStr" s="0">
        <is>
          <t>2026-10-01</t>
        </is>
      </c>
      <c r="C283" t="inlineStr" s="0">
        <is>
          <t>octubre</t>
        </is>
      </c>
      <c r="D283" t="inlineStr" s="0">
        <is>
          <t>Débito BiCheque comisión manejo de cuenta octubre</t>
        </is>
      </c>
      <c r="E283" t="inlineStr" s="0">
        <is>
          <t>5210 - Impuestos, tasas y arbitrios</t>
        </is>
      </c>
      <c r="F283" t="str" s="0">
        <f>IF(E283="","",IFERROR(VLOOKUP(E283,Config!$F$2:$G$60,2,FALSE),"Gasto"))</f>
        <v>Gasto</v>
      </c>
      <c r="G283" s="2">
        <v>15.0</v>
      </c>
      <c r="H283" s="2">
        <f>IF(G283="","",IF(IFERROR(VLOOKUP(E283,Config!$F$2:$H$60,3,FALSE),"Exento")="Afecto",ROUND(G283-(G283/1.12),2),0))</f>
        <v>0.0</v>
      </c>
      <c r="I283" s="2">
        <f>IF(G283="","",ROUND(G283-H283,2))</f>
        <v>15.0</v>
      </c>
      <c r="J283" t="inlineStr" s="0">
        <is>
          <t>BI- Monetaria</t>
        </is>
      </c>
      <c r="K283" s="3">
        <f>IF(G283="","",ROUND(K282+IF(J283="BI-Ahorro",0,IF(F283="Gasto",-G283,G283)),2))</f>
        <v>67850.17</v>
      </c>
      <c r="L283" s="2">
        <f>IF(G283="","",ROUND(L282+IF(LEFT(E283,4)="2102",G283,IF(J283="BI-Ahorro",-G283,0)),2))</f>
        <v>89018.67</v>
      </c>
      <c r="M283" t="inlineStr" s="0">
        <is>
          <t>BI-309581</t>
        </is>
      </c>
      <c r="N283" t="inlineStr" s="0">
        <is>
          <t>00-Administración</t>
        </is>
      </c>
      <c r="O283" t="inlineStr" s="0">
        <is>
          <t>Agregado según extracto BI 01/10/2026 (DEBITO BICHEQUE)</t>
        </is>
      </c>
    </row>
    <row r="284">
      <c r="A284" t="inlineStr" s="0">
        <is>
          <t>ALT-26-283</t>
        </is>
      </c>
      <c r="B284" t="inlineStr" s="0">
        <is>
          <t>2026-10-02</t>
        </is>
      </c>
      <c r="C284" t="inlineStr" s="0">
        <is>
          <t>octubre</t>
        </is>
      </c>
      <c r="D284" t="inlineStr" s="0">
        <is>
          <t>Cobro mensualidad octubre Andrei González</t>
        </is>
      </c>
      <c r="E284" t="inlineStr" s="0">
        <is>
          <t>4102 - Colegiaturas Mensuales</t>
        </is>
      </c>
      <c r="F284" t="str" s="0">
        <f>IF(E284="","",IFERROR(VLOOKUP(E284,Config!$F$2:$G$60,2,FALSE),"Gasto"))</f>
        <v>Ingreso</v>
      </c>
      <c r="G284" s="2">
        <v>3800.0</v>
      </c>
      <c r="H284" s="2">
        <f>IF(G284="","",IF(IFERROR(VLOOKUP(E284,Config!$F$2:$H$60,3,FALSE),"Exento")="Afecto",ROUND(G284-(G284/1.12),2),0))</f>
        <v>0.0</v>
      </c>
      <c r="I284" s="2">
        <f>IF(G284="","",ROUND(G284-H284,2))</f>
        <v>3800.0</v>
      </c>
      <c r="J284" t="inlineStr" s="0">
        <is>
          <t>BI- Monetaria</t>
        </is>
      </c>
      <c r="K284" s="3">
        <f>IF(G284="","",ROUND(K283+IF(J284="BI-Ahorro",0,IF(F284="Gasto",-G284,G284)),2))</f>
        <v>71650.17</v>
      </c>
      <c r="L284" s="2">
        <f>IF(G284="","",ROUND(L283+IF(LEFT(E284,4)="2102",G284,IF(J284="BI-Ahorro",-G284,0)),2))</f>
        <v>89018.67</v>
      </c>
      <c r="M284" t="inlineStr" s="0">
        <is>
          <t>BI-2090132</t>
        </is>
      </c>
      <c r="N284" t="inlineStr" s="0">
        <is>
          <t>01-Pre-Primaria / 02-Primaria</t>
        </is>
      </c>
      <c r="O284" t="inlineStr" s="0">
        <is>
          <t>Conciliado con extracto BI 02/10/2026</t>
        </is>
      </c>
    </row>
    <row r="285">
      <c r="A285" t="inlineStr" s="0">
        <is>
          <t>ALT-26-284</t>
        </is>
      </c>
      <c r="B285" t="inlineStr" s="0">
        <is>
          <t>2026-10-02</t>
        </is>
      </c>
      <c r="C285" t="inlineStr" s="0">
        <is>
          <t>octubre</t>
        </is>
      </c>
      <c r="D285" t="inlineStr" s="0">
        <is>
          <t>Cobro mensualidad octubre Adriana García</t>
        </is>
      </c>
      <c r="E285" t="inlineStr" s="0">
        <is>
          <t>4102 - Colegiaturas Mensuales</t>
        </is>
      </c>
      <c r="F285" t="str" s="0">
        <f>IF(E285="","",IFERROR(VLOOKUP(E285,Config!$F$2:$G$60,2,FALSE),"Gasto"))</f>
        <v>Ingreso</v>
      </c>
      <c r="G285" s="2">
        <v>9300.0</v>
      </c>
      <c r="H285" s="2">
        <f>IF(G285="","",IF(IFERROR(VLOOKUP(E285,Config!$F$2:$H$60,3,FALSE),"Exento")="Afecto",ROUND(G285-(G285/1.12),2),0))</f>
        <v>0.0</v>
      </c>
      <c r="I285" s="2">
        <f>IF(G285="","",ROUND(G285-H285,2))</f>
        <v>9300.0</v>
      </c>
      <c r="J285" t="inlineStr" s="0">
        <is>
          <t>BI- Monetaria</t>
        </is>
      </c>
      <c r="K285" s="3">
        <f>IF(G285="","",ROUND(K284+IF(J285="BI-Ahorro",0,IF(F285="Gasto",-G285,G285)),2))</f>
        <v>80950.17</v>
      </c>
      <c r="L285" s="2">
        <f>IF(G285="","",ROUND(L284+IF(LEFT(E285,4)="2102",G285,IF(J285="BI-Ahorro",-G285,0)),2))</f>
        <v>89018.67</v>
      </c>
      <c r="M285" t="inlineStr" s="0">
        <is>
          <t>BI-2141911</t>
        </is>
      </c>
      <c r="N285" t="inlineStr" s="0">
        <is>
          <t>01-Pre-Primaria / 02-Primaria</t>
        </is>
      </c>
      <c r="O285" t="inlineStr" s="0">
        <is>
          <t>Conciliado con extracto BI 02/10/2026</t>
        </is>
      </c>
    </row>
    <row r="286">
      <c r="A286" t="inlineStr" s="0">
        <is>
          <t>ALT-26-285</t>
        </is>
      </c>
      <c r="B286" t="inlineStr" s="0">
        <is>
          <t>2026-10-02</t>
        </is>
      </c>
      <c r="C286" t="inlineStr" s="0">
        <is>
          <t>octubre</t>
        </is>
      </c>
      <c r="D286" t="inlineStr" s="0">
        <is>
          <t>Google Workspace_altus US octubre</t>
        </is>
      </c>
      <c r="E286" t="inlineStr" s="0">
        <is>
          <t>5212 - Telecomunicaciones e internet</t>
        </is>
      </c>
      <c r="F286" t="str" s="0">
        <f>IF(E286="","",IFERROR(VLOOKUP(E286,Config!$F$2:$G$60,2,FALSE),"Gasto"))</f>
        <v>Gasto</v>
      </c>
      <c r="G286" s="2">
        <v>235.27</v>
      </c>
      <c r="H286" s="2">
        <f>IF(G286="","",IF(IFERROR(VLOOKUP(E286,Config!$F$2:$H$60,3,FALSE),"Exento")="Afecto",ROUND(G286-(G286/1.12),2),0))</f>
        <v>25.21</v>
      </c>
      <c r="I286" s="2">
        <f>IF(G286="","",ROUND(G286-H286,2))</f>
        <v>210.06</v>
      </c>
      <c r="J286" t="inlineStr" s="0">
        <is>
          <t>BI- Monetaria</t>
        </is>
      </c>
      <c r="K286" s="3">
        <f>IF(G286="","",ROUND(K285+IF(J286="BI-Ahorro",0,IF(F286="Gasto",-G286,G286)),2))</f>
        <v>80714.9</v>
      </c>
      <c r="L286" s="2">
        <f>IF(G286="","",ROUND(L285+IF(LEFT(E286,4)="2102",G286,IF(J286="BI-Ahorro",-G286,0)),2))</f>
        <v>89018.67</v>
      </c>
      <c r="M286" t="inlineStr" s="0">
        <is>
          <t>BI-168343</t>
        </is>
      </c>
      <c r="N286" t="inlineStr" s="0">
        <is>
          <t>00-Administración</t>
        </is>
      </c>
      <c r="O286" t="inlineStr" s="0">
        <is>
          <t>Agregado según extracto BI 02/10/2026</t>
        </is>
      </c>
    </row>
    <row r="287">
      <c r="A287" t="inlineStr" s="0">
        <is>
          <t>ALT-26-286</t>
        </is>
      </c>
      <c r="B287" t="inlineStr" s="0">
        <is>
          <t>2026-10-05</t>
        </is>
      </c>
      <c r="C287" t="inlineStr" s="0">
        <is>
          <t>octubre</t>
        </is>
      </c>
      <c r="D287" t="inlineStr" s="0">
        <is>
          <t>Cobro mensualidad octubre Luís Felipe Guzmán (Pamela Sosa)</t>
        </is>
      </c>
      <c r="E287" t="inlineStr" s="0">
        <is>
          <t>4102 - Colegiaturas Mensuales</t>
        </is>
      </c>
      <c r="F287" t="str" s="0">
        <f>IF(E287="","",IFERROR(VLOOKUP(E287,Config!$F$2:$G$60,2,FALSE),"Gasto"))</f>
        <v>Ingreso</v>
      </c>
      <c r="G287" s="2">
        <v>9300.0</v>
      </c>
      <c r="H287" s="2">
        <f>IF(G287="","",IF(IFERROR(VLOOKUP(E287,Config!$F$2:$H$60,3,FALSE),"Exento")="Afecto",ROUND(G287-(G287/1.12),2),0))</f>
        <v>0.0</v>
      </c>
      <c r="I287" s="2">
        <f>IF(G287="","",ROUND(G287-H287,2))</f>
        <v>9300.0</v>
      </c>
      <c r="J287" t="inlineStr" s="0">
        <is>
          <t>BI- Monetaria</t>
        </is>
      </c>
      <c r="K287" s="3">
        <f>IF(G287="","",ROUND(K286+IF(J287="BI-Ahorro",0,IF(F287="Gasto",-G287,G287)),2))</f>
        <v>90014.9</v>
      </c>
      <c r="L287" s="2">
        <f>IF(G287="","",ROUND(L286+IF(LEFT(E287,4)="2102",G287,IF(J287="BI-Ahorro",-G287,0)),2))</f>
        <v>89018.67</v>
      </c>
      <c r="M287" t="inlineStr" s="0">
        <is>
          <t>BI-5140139</t>
        </is>
      </c>
      <c r="N287" t="inlineStr" s="0">
        <is>
          <t>01-Pre-Primaria / 02-Primaria</t>
        </is>
      </c>
      <c r="O287" t="inlineStr" s="0">
        <is>
          <t>Conciliado con extracto BI 05/10/2026</t>
        </is>
      </c>
    </row>
    <row r="288">
      <c r="A288" t="inlineStr" s="0">
        <is>
          <t>ALT-26-287</t>
        </is>
      </c>
      <c r="B288" t="inlineStr" s="0">
        <is>
          <t>2026-10-06</t>
        </is>
      </c>
      <c r="C288" t="inlineStr" s="0">
        <is>
          <t>octubre</t>
        </is>
      </c>
      <c r="D288" t="inlineStr" s="0">
        <is>
          <t>Pago ISR retenido personal (correspondiente a cierre sep)</t>
        </is>
      </c>
      <c r="E288" t="inlineStr" s="0">
        <is>
          <t>2105 - ISR Retenciones por Pagar</t>
        </is>
      </c>
      <c r="F288" t="str" s="0">
        <f>IF(E288="","",IFERROR(VLOOKUP(E288,Config!$F$2:$G$60,2,FALSE),"Gasto"))</f>
        <v>Gasto</v>
      </c>
      <c r="G288" s="2">
        <v>375.85</v>
      </c>
      <c r="H288" s="2">
        <f>IF(G288="","",IF(IFERROR(VLOOKUP(E288,Config!$F$2:$H$60,3,FALSE),"Exento")="Afecto",ROUND(G288-(G288/1.12),2),0))</f>
        <v>0.0</v>
      </c>
      <c r="I288" s="2">
        <f>IF(G288="","",ROUND(G288-H288,2))</f>
        <v>375.85</v>
      </c>
      <c r="J288" t="inlineStr" s="0">
        <is>
          <t>BI- Monetaria</t>
        </is>
      </c>
      <c r="K288" s="3">
        <f>IF(G288="","",ROUND(K287+IF(J288="BI-Ahorro",0,IF(F288="Gasto",-G288,G288)),2))</f>
        <v>89639.05</v>
      </c>
      <c r="L288" s="2">
        <f>IF(G288="","",ROUND(L287+IF(LEFT(E288,4)="2102",G288,IF(J288="BI-Ahorro",-G288,0)),2))</f>
        <v>89018.67</v>
      </c>
      <c r="M288" t="inlineStr" s="0">
        <is>
          <t>BI-6107849</t>
        </is>
      </c>
      <c r="N288" t="inlineStr" s="0">
        <is>
          <t>00-Administración</t>
        </is>
      </c>
      <c r="O288" t="inlineStr" s="0">
        <is>
          <t>Movido de 29/09 a su fecha real de débito en banco 06/10/2026 (Docto 6107849)</t>
        </is>
      </c>
    </row>
    <row r="289">
      <c r="A289" t="inlineStr" s="0">
        <is>
          <t>ALT-26-288</t>
        </is>
      </c>
      <c r="B289" t="inlineStr" s="0">
        <is>
          <t>2026-10-06</t>
        </is>
      </c>
      <c r="C289" t="inlineStr" s="0">
        <is>
          <t>octubre</t>
        </is>
      </c>
      <c r="D289" t="inlineStr" s="0">
        <is>
          <t>Honorarios contabilidad Sergio contador</t>
        </is>
      </c>
      <c r="E289" t="inlineStr" s="0">
        <is>
          <t>5209 - Honorarios profesionales</t>
        </is>
      </c>
      <c r="F289" t="str" s="0">
        <f>IF(E289="","",IFERROR(VLOOKUP(E289,Config!$F$2:$G$60,2,FALSE),"Gasto"))</f>
        <v>Gasto</v>
      </c>
      <c r="G289" s="2">
        <v>350.0</v>
      </c>
      <c r="H289" s="2">
        <f>IF(G289="","",IF(IFERROR(VLOOKUP(E289,Config!$F$2:$H$60,3,FALSE),"Exento")="Afecto",ROUND(G289-(G289/1.12),2),0))</f>
        <v>37.5</v>
      </c>
      <c r="I289" s="2">
        <f>IF(G289="","",ROUND(G289-H289,2))</f>
        <v>312.5</v>
      </c>
      <c r="J289" t="inlineStr" s="0">
        <is>
          <t>BI- Monetaria</t>
        </is>
      </c>
      <c r="K289" s="3">
        <f>IF(G289="","",ROUND(K288+IF(J289="BI-Ahorro",0,IF(F289="Gasto",-G289,G289)),2))</f>
        <v>89289.05</v>
      </c>
      <c r="L289" s="2">
        <f>IF(G289="","",ROUND(L288+IF(LEFT(E289,4)="2102",G289,IF(J289="BI-Ahorro",-G289,0)),2))</f>
        <v>89018.67</v>
      </c>
      <c r="M289" t="inlineStr" s="0">
        <is>
          <t>BI-6161486</t>
        </is>
      </c>
      <c r="N289" t="inlineStr" s="0">
        <is>
          <t>00-Administración</t>
        </is>
      </c>
      <c r="O289" t="inlineStr" s="0">
        <is>
          <t>Movido de 29/09 a su fecha real de débito en banco 06/10/2026 (Docto 6161486)</t>
        </is>
      </c>
    </row>
    <row r="290">
      <c r="A290" t="inlineStr" s="0">
        <is>
          <t>ALT-26-289</t>
        </is>
      </c>
      <c r="B290" t="inlineStr" s="0">
        <is>
          <t>2026-10-07</t>
        </is>
      </c>
      <c r="C290" t="inlineStr" s="0">
        <is>
          <t>octubre</t>
        </is>
      </c>
      <c r="D290" t="inlineStr" s="0">
        <is>
          <t>Cobro mensualidad octubre Giulia Fiorini (ACH Dilson Gerardo Fiori)</t>
        </is>
      </c>
      <c r="E290" t="inlineStr" s="0">
        <is>
          <t>4102 - Colegiaturas Mensuales</t>
        </is>
      </c>
      <c r="F290" t="str" s="0">
        <f>IF(E290="","",IFERROR(VLOOKUP(E290,Config!$F$2:$G$60,2,FALSE),"Gasto"))</f>
        <v>Ingreso</v>
      </c>
      <c r="G290" s="2">
        <v>1850.0</v>
      </c>
      <c r="H290" s="2">
        <f>IF(G290="","",IF(IFERROR(VLOOKUP(E290,Config!$F$2:$H$60,3,FALSE),"Exento")="Afecto",ROUND(G290-(G290/1.12),2),0))</f>
        <v>0.0</v>
      </c>
      <c r="I290" s="2">
        <f>IF(G290="","",ROUND(G290-H290,2))</f>
        <v>1850.0</v>
      </c>
      <c r="J290" t="inlineStr" s="0">
        <is>
          <t>BI- Monetaria</t>
        </is>
      </c>
      <c r="K290" s="3">
        <f>IF(G290="","",ROUND(K289+IF(J290="BI-Ahorro",0,IF(F290="Gasto",-G290,G290)),2))</f>
        <v>91139.05</v>
      </c>
      <c r="L290" s="2">
        <f>IF(G290="","",ROUND(L289+IF(LEFT(E290,4)="2102",G290,IF(J290="BI-Ahorro",-G290,0)),2))</f>
        <v>89018.67</v>
      </c>
      <c r="M290" t="inlineStr" s="0">
        <is>
          <t>BI-127890</t>
        </is>
      </c>
      <c r="N290" t="inlineStr" s="0">
        <is>
          <t>01-Pre-Primaria / 02-Primaria</t>
        </is>
      </c>
      <c r="O290" t="inlineStr" s="0">
        <is>
          <t>Agregado según extracto BI 07/10/2026 y actualizado en Colegiaturas T5</t>
        </is>
      </c>
    </row>
    <row r="291">
      <c r="A291" t="inlineStr" s="0">
        <is>
          <t>ALT-26-290</t>
        </is>
      </c>
      <c r="B291" t="inlineStr" s="0">
        <is>
          <t>2026-10-07</t>
        </is>
      </c>
      <c r="C291" t="inlineStr" s="0">
        <is>
          <t>octubre</t>
        </is>
      </c>
      <c r="D291" t="inlineStr" s="0">
        <is>
          <t>Honorarios gestión papelería Lourdes Escribá (2 meses: Q1,454 x 2)</t>
        </is>
      </c>
      <c r="E291" t="inlineStr" s="0">
        <is>
          <t>5209 - Honorarios profesionales</t>
        </is>
      </c>
      <c r="F291" t="str" s="0">
        <f>IF(E291="","",IFERROR(VLOOKUP(E291,Config!$F$2:$G$60,2,FALSE),"Gasto"))</f>
        <v>Gasto</v>
      </c>
      <c r="G291" s="2">
        <v>2908.0</v>
      </c>
      <c r="H291" s="2">
        <f>IF(G291="","",IF(IFERROR(VLOOKUP(E291,Config!$F$2:$H$60,3,FALSE),"Exento")="Afecto",ROUND(G291-(G291/1.12),2),0))</f>
        <v>311.57</v>
      </c>
      <c r="I291" s="2">
        <f>IF(G291="","",ROUND(G291-H291,2))</f>
        <v>2596.43</v>
      </c>
      <c r="J291" t="inlineStr" s="0">
        <is>
          <t>BI- Monetaria</t>
        </is>
      </c>
      <c r="K291" s="3">
        <f>IF(G291="","",ROUND(K290+IF(J291="BI-Ahorro",0,IF(F291="Gasto",-G291,G291)),2))</f>
        <v>88231.05</v>
      </c>
      <c r="L291" s="2">
        <f>IF(G291="","",ROUND(L290+IF(LEFT(E291,4)="2102",G291,IF(J291="BI-Ahorro",-G291,0)),2))</f>
        <v>89018.67</v>
      </c>
      <c r="M291" t="inlineStr" s="0">
        <is>
          <t>BI-157584</t>
        </is>
      </c>
      <c r="N291" t="inlineStr" s="0">
        <is>
          <t>00-Administración</t>
        </is>
      </c>
      <c r="O291" t="inlineStr" s="0">
        <is>
          <t>Ajustado según extracto BI 07/10/2026 (Docto 157584 por Q2,908.00)</t>
        </is>
      </c>
    </row>
    <row r="292">
      <c r="A292" t="inlineStr" s="0">
        <is>
          <t>ALT-26-291</t>
        </is>
      </c>
      <c r="B292" t="inlineStr" s="0">
        <is>
          <t>2026-10-08</t>
        </is>
      </c>
      <c r="C292" t="inlineStr" s="0">
        <is>
          <t>octubre</t>
        </is>
      </c>
      <c r="D292" t="inlineStr" s="0">
        <is>
          <t>Cobro mensualidad octubre Mateo Toribio</t>
        </is>
      </c>
      <c r="E292" t="inlineStr" s="0">
        <is>
          <t>4102 - Colegiaturas Mensuales</t>
        </is>
      </c>
      <c r="F292" t="str" s="0">
        <f>IF(E292="","",IFERROR(VLOOKUP(E292,Config!$F$2:$G$60,2,FALSE),"Gasto"))</f>
        <v>Ingreso</v>
      </c>
      <c r="G292" s="2">
        <v>9300.0</v>
      </c>
      <c r="H292" s="2">
        <f>IF(G292="","",IF(IFERROR(VLOOKUP(E292,Config!$F$2:$H$60,3,FALSE),"Exento")="Afecto",ROUND(G292-(G292/1.12),2),0))</f>
        <v>0.0</v>
      </c>
      <c r="I292" s="2">
        <f>IF(G292="","",ROUND(G292-H292,2))</f>
        <v>9300.0</v>
      </c>
      <c r="J292" t="inlineStr" s="0">
        <is>
          <t>BI- Monetaria</t>
        </is>
      </c>
      <c r="K292" s="3">
        <f>IF(G292="","",ROUND(K291+IF(J292="BI-Ahorro",0,IF(F292="Gasto",-G292,G292)),2))</f>
        <v>97531.05</v>
      </c>
      <c r="L292" s="2">
        <f>IF(G292="","",ROUND(L291+IF(LEFT(E292,4)="2102",G292,IF(J292="BI-Ahorro",-G292,0)),2))</f>
        <v>89018.67</v>
      </c>
      <c r="M292" t="inlineStr" s="0">
        <is>
          <t>BI-8120167</t>
        </is>
      </c>
      <c r="N292" t="inlineStr" s="0">
        <is>
          <t>01-Pre-Primaria / 02-Primaria</t>
        </is>
      </c>
      <c r="O292" t="inlineStr" s="0">
        <is>
          <t>Agregado según extracto BI 08/10/2026 y actualizado en Colegiaturas T8</t>
        </is>
      </c>
    </row>
    <row r="293">
      <c r="A293" t="str" s="0">
        <f>IF(G293="","","ALT-26-"&amp;TEXT(ROW()-1,"000"))</f>
        <v/>
      </c>
      <c r="B293" t="inlineStr" s="0">
        <is>
          <t/>
        </is>
      </c>
      <c r="C293" t="inlineStr" s="0">
        <is>
          <t/>
        </is>
      </c>
      <c r="D293" t="inlineStr" s="0">
        <is>
          <t/>
        </is>
      </c>
      <c r="E293" t="inlineStr" s="0">
        <is>
          <t/>
        </is>
      </c>
      <c r="F293" t="str" s="0">
        <f>IF(E293="","",IFERROR(VLOOKUP(E293,Config!$F$2:$G$60,2,FALSE),"Gasto"))</f>
        <v/>
      </c>
      <c r="G293" s="2"/>
      <c r="H293" s="2">
        <f>IF(G293="","",IF(IFERROR(VLOOKUP(E293,Config!$F$2:$H$60,3,FALSE),"Exento")="Afecto",ROUND(G293-(G293/1.12),2),0))</f>
      </c>
      <c r="I293" s="2">
        <f>IF(G293="","",ROUND(G293-H293,2))</f>
      </c>
      <c r="J293" t="inlineStr" s="0">
        <is>
          <t/>
        </is>
      </c>
      <c r="K293" s="3">
        <f>IF(G293="","",ROUND(K292+IF(J293="BI-Ahorro",0,IF(F293="Gasto",-G293,G293)),2))</f>
      </c>
      <c r="L293" s="2">
        <f>IF(G293="","",ROUND(L292+IF(LEFT(E293,4)="2102",G293,IF(J293="BI-Ahorro",-G293,0)),2))</f>
      </c>
      <c r="M293" t="inlineStr" s="0">
        <is>
          <t/>
        </is>
      </c>
      <c r="N293" t="inlineStr" s="0">
        <is>
          <t/>
        </is>
      </c>
      <c r="O293" t="inlineStr" s="0">
        <is>
          <t/>
        </is>
      </c>
    </row>
    <row r="294">
      <c r="A294" t="str" s="0">
        <f>IF(G294="","","ALT-26-"&amp;TEXT(ROW()-1,"000"))</f>
        <v/>
      </c>
      <c r="B294" t="inlineStr" s="0">
        <is>
          <t/>
        </is>
      </c>
      <c r="C294" t="inlineStr" s="0">
        <is>
          <t/>
        </is>
      </c>
      <c r="D294" t="inlineStr" s="0">
        <is>
          <t/>
        </is>
      </c>
      <c r="E294" t="inlineStr" s="0">
        <is>
          <t/>
        </is>
      </c>
      <c r="F294" t="str" s="0">
        <f>IF(E294="","",IFERROR(VLOOKUP(E294,Config!$F$2:$G$60,2,FALSE),"Gasto"))</f>
        <v/>
      </c>
      <c r="G294" s="2"/>
      <c r="H294" s="2">
        <f>IF(G294="","",IF(IFERROR(VLOOKUP(E294,Config!$F$2:$H$60,3,FALSE),"Exento")="Afecto",ROUND(G294-(G294/1.12),2),0))</f>
      </c>
      <c r="I294" s="2">
        <f>IF(G294="","",ROUND(G294-H294,2))</f>
      </c>
      <c r="J294" t="inlineStr" s="0">
        <is>
          <t/>
        </is>
      </c>
      <c r="K294" s="3">
        <f>IF(G294="","",ROUND(K293+IF(J294="BI-Ahorro",0,IF(F294="Gasto",-G294,G294)),2))</f>
      </c>
      <c r="L294" s="2">
        <f>IF(G294="","",ROUND(L293+IF(LEFT(E294,4)="2102",G294,IF(J294="BI-Ahorro",-G294,0)),2))</f>
      </c>
      <c r="M294" t="inlineStr" s="0">
        <is>
          <t/>
        </is>
      </c>
      <c r="N294" t="inlineStr" s="0">
        <is>
          <t/>
        </is>
      </c>
      <c r="O294" t="inlineStr" s="0">
        <is>
          <t/>
        </is>
      </c>
    </row>
    <row r="295">
      <c r="A295" t="str" s="0">
        <f>IF(G295="","","ALT-26-"&amp;TEXT(ROW()-1,"000"))</f>
        <v/>
      </c>
      <c r="B295" t="inlineStr" s="0">
        <is>
          <t/>
        </is>
      </c>
      <c r="C295" t="inlineStr" s="0">
        <is>
          <t/>
        </is>
      </c>
      <c r="D295" t="inlineStr" s="0">
        <is>
          <t/>
        </is>
      </c>
      <c r="E295" t="inlineStr" s="0">
        <is>
          <t/>
        </is>
      </c>
      <c r="F295" t="str" s="0">
        <f>IF(E295="","",IFERROR(VLOOKUP(E295,Config!$F$2:$G$60,2,FALSE),"Gasto"))</f>
        <v/>
      </c>
      <c r="G295" s="2"/>
      <c r="H295" s="2">
        <f>IF(G295="","",IF(IFERROR(VLOOKUP(E295,Config!$F$2:$H$60,3,FALSE),"Exento")="Afecto",ROUND(G295-(G295/1.12),2),0))</f>
      </c>
      <c r="I295" s="2">
        <f>IF(G295="","",ROUND(G295-H295,2))</f>
      </c>
      <c r="J295" t="inlineStr" s="0">
        <is>
          <t/>
        </is>
      </c>
      <c r="K295" s="3">
        <f>IF(G295="","",ROUND(K294+IF(J295="BI-Ahorro",0,IF(F295="Gasto",-G295,G295)),2))</f>
      </c>
      <c r="L295" s="2">
        <f>IF(G295="","",ROUND(L294+IF(LEFT(E295,4)="2102",G295,IF(J295="BI-Ahorro",-G295,0)),2))</f>
      </c>
      <c r="M295" t="inlineStr" s="0">
        <is>
          <t/>
        </is>
      </c>
      <c r="N295" t="inlineStr" s="0">
        <is>
          <t/>
        </is>
      </c>
      <c r="O295" t="inlineStr" s="0">
        <is>
          <t/>
        </is>
      </c>
    </row>
    <row r="296">
      <c r="A296" t="str" s="0">
        <f>IF(G296="","","ALT-26-"&amp;TEXT(ROW()-1,"000"))</f>
        <v/>
      </c>
      <c r="B296" t="inlineStr" s="0">
        <is>
          <t/>
        </is>
      </c>
      <c r="C296" t="inlineStr" s="0">
        <is>
          <t/>
        </is>
      </c>
      <c r="D296" t="inlineStr" s="0">
        <is>
          <t/>
        </is>
      </c>
      <c r="E296" t="inlineStr" s="0">
        <is>
          <t/>
        </is>
      </c>
      <c r="F296" t="str" s="0">
        <f>IF(E296="","",IFERROR(VLOOKUP(E296,Config!$F$2:$G$60,2,FALSE),"Gasto"))</f>
        <v/>
      </c>
      <c r="G296" s="2"/>
      <c r="H296" s="2">
        <f>IF(G296="","",IF(IFERROR(VLOOKUP(E296,Config!$F$2:$H$60,3,FALSE),"Exento")="Afecto",ROUND(G296-(G296/1.12),2),0))</f>
      </c>
      <c r="I296" s="2">
        <f>IF(G296="","",ROUND(G296-H296,2))</f>
      </c>
      <c r="J296" t="inlineStr" s="0">
        <is>
          <t/>
        </is>
      </c>
      <c r="K296" s="3">
        <f>IF(G296="","",ROUND(K295+IF(J296="BI-Ahorro",0,IF(F296="Gasto",-G296,G296)),2))</f>
      </c>
      <c r="L296" s="2">
        <f>IF(G296="","",ROUND(L295+IF(LEFT(E296,4)="2102",G296,IF(J296="BI-Ahorro",-G296,0)),2))</f>
      </c>
      <c r="M296" t="inlineStr" s="0">
        <is>
          <t/>
        </is>
      </c>
      <c r="N296" t="inlineStr" s="0">
        <is>
          <t/>
        </is>
      </c>
      <c r="O296" t="inlineStr" s="0">
        <is>
          <t/>
        </is>
      </c>
    </row>
    <row r="297">
      <c r="A297" t="str" s="0">
        <f>IF(G297="","","ALT-26-"&amp;TEXT(ROW()-1,"000"))</f>
        <v/>
      </c>
      <c r="B297" t="inlineStr" s="0">
        <is>
          <t/>
        </is>
      </c>
      <c r="C297" t="inlineStr" s="0">
        <is>
          <t/>
        </is>
      </c>
      <c r="D297" t="inlineStr" s="0">
        <is>
          <t/>
        </is>
      </c>
      <c r="E297" t="inlineStr" s="0">
        <is>
          <t/>
        </is>
      </c>
      <c r="F297" t="str" s="0">
        <f>IF(E297="","",IFERROR(VLOOKUP(E297,Config!$F$2:$G$60,2,FALSE),"Gasto"))</f>
        <v/>
      </c>
      <c r="G297" s="2"/>
      <c r="H297" s="2">
        <f>IF(G297="","",IF(IFERROR(VLOOKUP(E297,Config!$F$2:$H$60,3,FALSE),"Exento")="Afecto",ROUND(G297-(G297/1.12),2),0))</f>
      </c>
      <c r="I297" s="2">
        <f>IF(G297="","",ROUND(G297-H297,2))</f>
      </c>
      <c r="J297" t="inlineStr" s="0">
        <is>
          <t/>
        </is>
      </c>
      <c r="K297" s="3">
        <f>IF(G297="","",ROUND(K296+IF(J297="BI-Ahorro",0,IF(F297="Gasto",-G297,G297)),2))</f>
      </c>
      <c r="L297" s="2">
        <f>IF(G297="","",ROUND(L296+IF(LEFT(E297,4)="2102",G297,IF(J297="BI-Ahorro",-G297,0)),2))</f>
      </c>
      <c r="M297" t="inlineStr" s="0">
        <is>
          <t/>
        </is>
      </c>
      <c r="N297" t="inlineStr" s="0">
        <is>
          <t/>
        </is>
      </c>
      <c r="O297" t="inlineStr" s="0">
        <is>
          <t/>
        </is>
      </c>
    </row>
    <row r="298">
      <c r="A298" t="str" s="0">
        <f>IF(G298="","","ALT-26-"&amp;TEXT(ROW()-1,"000"))</f>
        <v/>
      </c>
      <c r="B298" t="inlineStr" s="0">
        <is>
          <t/>
        </is>
      </c>
      <c r="C298" t="inlineStr" s="0">
        <is>
          <t/>
        </is>
      </c>
      <c r="D298" t="inlineStr" s="0">
        <is>
          <t/>
        </is>
      </c>
      <c r="E298" t="inlineStr" s="0">
        <is>
          <t/>
        </is>
      </c>
      <c r="F298" t="str" s="0">
        <f>IF(E298="","",IFERROR(VLOOKUP(E298,Config!$F$2:$G$60,2,FALSE),"Gasto"))</f>
        <v/>
      </c>
      <c r="G298" s="2"/>
      <c r="H298" s="2">
        <f>IF(G298="","",IF(IFERROR(VLOOKUP(E298,Config!$F$2:$H$60,3,FALSE),"Exento")="Afecto",ROUND(G298-(G298/1.12),2),0))</f>
      </c>
      <c r="I298" s="2">
        <f>IF(G298="","",ROUND(G298-H298,2))</f>
      </c>
      <c r="J298" t="inlineStr" s="0">
        <is>
          <t/>
        </is>
      </c>
      <c r="K298" s="3">
        <f>IF(G298="","",ROUND(K297+IF(J298="BI-Ahorro",0,IF(F298="Gasto",-G298,G298)),2))</f>
      </c>
      <c r="L298" s="2">
        <f>IF(G298="","",ROUND(L297+IF(LEFT(E298,4)="2102",G298,IF(J298="BI-Ahorro",-G298,0)),2))</f>
      </c>
      <c r="M298" t="inlineStr" s="0">
        <is>
          <t/>
        </is>
      </c>
      <c r="N298" t="inlineStr" s="0">
        <is>
          <t/>
        </is>
      </c>
      <c r="O298" t="inlineStr" s="0">
        <is>
          <t/>
        </is>
      </c>
    </row>
    <row r="299">
      <c r="A299" t="str" s="0">
        <f>IF(G299="","","ALT-26-"&amp;TEXT(ROW()-1,"000"))</f>
        <v/>
      </c>
      <c r="B299" t="inlineStr" s="0">
        <is>
          <t/>
        </is>
      </c>
      <c r="C299" t="inlineStr" s="0">
        <is>
          <t/>
        </is>
      </c>
      <c r="D299" t="inlineStr" s="0">
        <is>
          <t/>
        </is>
      </c>
      <c r="E299" t="inlineStr" s="0">
        <is>
          <t/>
        </is>
      </c>
      <c r="F299" t="str" s="0">
        <f>IF(E299="","",IFERROR(VLOOKUP(E299,Config!$F$2:$G$60,2,FALSE),"Gasto"))</f>
        <v/>
      </c>
      <c r="G299" s="2"/>
      <c r="H299" s="2">
        <f>IF(G299="","",IF(IFERROR(VLOOKUP(E299,Config!$F$2:$H$60,3,FALSE),"Exento")="Afecto",ROUND(G299-(G299/1.12),2),0))</f>
      </c>
      <c r="I299" s="2">
        <f>IF(G299="","",ROUND(G299-H299,2))</f>
      </c>
      <c r="J299" t="inlineStr" s="0">
        <is>
          <t/>
        </is>
      </c>
      <c r="K299" s="3">
        <f>IF(G299="","",ROUND(K298+IF(J299="BI-Ahorro",0,IF(F299="Gasto",-G299,G299)),2))</f>
      </c>
      <c r="L299" s="2">
        <f>IF(G299="","",ROUND(L298+IF(LEFT(E299,4)="2102",G299,IF(J299="BI-Ahorro",-G299,0)),2))</f>
      </c>
      <c r="M299" t="inlineStr" s="0">
        <is>
          <t/>
        </is>
      </c>
      <c r="N299" t="inlineStr" s="0">
        <is>
          <t/>
        </is>
      </c>
      <c r="O299" t="inlineStr" s="0">
        <is>
          <t/>
        </is>
      </c>
    </row>
    <row r="300">
      <c r="A300" t="str" s="0">
        <f>IF(G300="","","ALT-26-"&amp;TEXT(ROW()-1,"000"))</f>
        <v/>
      </c>
      <c r="B300" t="inlineStr" s="0">
        <is>
          <t/>
        </is>
      </c>
      <c r="C300" t="inlineStr" s="0">
        <is>
          <t/>
        </is>
      </c>
      <c r="D300" t="inlineStr" s="0">
        <is>
          <t/>
        </is>
      </c>
      <c r="E300" t="inlineStr" s="0">
        <is>
          <t/>
        </is>
      </c>
      <c r="F300" t="str" s="0">
        <f>IF(E300="","",IFERROR(VLOOKUP(E300,Config!$F$2:$G$60,2,FALSE),"Gasto"))</f>
        <v/>
      </c>
      <c r="G300" s="2"/>
      <c r="H300" s="2">
        <f>IF(G300="","",IF(IFERROR(VLOOKUP(E300,Config!$F$2:$H$60,3,FALSE),"Exento")="Afecto",ROUND(G300-(G300/1.12),2),0))</f>
      </c>
      <c r="I300" s="2">
        <f>IF(G300="","",ROUND(G300-H300,2))</f>
      </c>
      <c r="J300" t="inlineStr" s="0">
        <is>
          <t/>
        </is>
      </c>
      <c r="K300" s="3">
        <f>IF(G300="","",ROUND(K299+IF(J300="BI-Ahorro",0,IF(F300="Gasto",-G300,G300)),2))</f>
      </c>
      <c r="L300" s="2">
        <f>IF(G300="","",ROUND(L299+IF(LEFT(E300,4)="2102",G300,IF(J300="BI-Ahorro",-G300,0)),2))</f>
      </c>
      <c r="M300" t="inlineStr" s="0">
        <is>
          <t/>
        </is>
      </c>
      <c r="N300" t="inlineStr" s="0">
        <is>
          <t/>
        </is>
      </c>
      <c r="O300" t="inlineStr" s="0">
        <is>
          <t/>
        </is>
      </c>
    </row>
    <row r="301">
      <c r="A301" t="str" s="0">
        <f>IF(G301="","","ALT-26-"&amp;TEXT(ROW()-1,"000"))</f>
        <v/>
      </c>
      <c r="B301" t="inlineStr" s="0">
        <is>
          <t/>
        </is>
      </c>
      <c r="C301" t="inlineStr" s="0">
        <is>
          <t/>
        </is>
      </c>
      <c r="D301" t="inlineStr" s="0">
        <is>
          <t/>
        </is>
      </c>
      <c r="E301" t="inlineStr" s="0">
        <is>
          <t/>
        </is>
      </c>
      <c r="F301" t="str" s="0">
        <f>IF(E301="","",IFERROR(VLOOKUP(E301,Config!$F$2:$G$60,2,FALSE),"Gasto"))</f>
        <v/>
      </c>
      <c r="G301" s="2"/>
      <c r="H301" s="2">
        <f>IF(G301="","",IF(IFERROR(VLOOKUP(E301,Config!$F$2:$H$60,3,FALSE),"Exento")="Afecto",ROUND(G301-(G301/1.12),2),0))</f>
      </c>
      <c r="I301" s="2">
        <f>IF(G301="","",ROUND(G301-H301,2))</f>
      </c>
      <c r="J301" t="inlineStr" s="0">
        <is>
          <t/>
        </is>
      </c>
      <c r="K301" s="3">
        <f>IF(G301="","",ROUND(K300+IF(J301="BI-Ahorro",0,IF(F301="Gasto",-G301,G301)),2))</f>
      </c>
      <c r="L301" s="2">
        <f>IF(G301="","",ROUND(L300+IF(LEFT(E301,4)="2102",G301,IF(J301="BI-Ahorro",-G301,0)),2))</f>
      </c>
      <c r="M301" t="inlineStr" s="0">
        <is>
          <t/>
        </is>
      </c>
      <c r="N301" t="inlineStr" s="0">
        <is>
          <t/>
        </is>
      </c>
      <c r="O301" t="inlineStr" s="0">
        <is>
          <t/>
        </is>
      </c>
    </row>
    <row r="302">
      <c r="A302" t="str" s="0">
        <f>IF(G302="","","ALT-26-"&amp;TEXT(ROW()-1,"000"))</f>
        <v/>
      </c>
      <c r="B302" t="inlineStr" s="0">
        <is>
          <t/>
        </is>
      </c>
      <c r="C302" t="inlineStr" s="0">
        <is>
          <t/>
        </is>
      </c>
      <c r="D302" t="inlineStr" s="0">
        <is>
          <t/>
        </is>
      </c>
      <c r="E302" t="inlineStr" s="0">
        <is>
          <t/>
        </is>
      </c>
      <c r="F302" t="str" s="0">
        <f>IF(E302="","",IFERROR(VLOOKUP(E302,Config!$F$2:$G$60,2,FALSE),"Gasto"))</f>
        <v/>
      </c>
      <c r="G302" s="2"/>
      <c r="H302" s="2">
        <f>IF(G302="","",IF(IFERROR(VLOOKUP(E302,Config!$F$2:$H$60,3,FALSE),"Exento")="Afecto",ROUND(G302-(G302/1.12),2),0))</f>
      </c>
      <c r="I302" s="2">
        <f>IF(G302="","",ROUND(G302-H302,2))</f>
      </c>
      <c r="J302" t="inlineStr" s="0">
        <is>
          <t/>
        </is>
      </c>
      <c r="K302" s="3">
        <f>IF(G302="","",ROUND(K301+IF(J302="BI-Ahorro",0,IF(F302="Gasto",-G302,G302)),2))</f>
      </c>
      <c r="L302" s="2">
        <f>IF(G302="","",ROUND(L301+IF(LEFT(E302,4)="2102",G302,IF(J302="BI-Ahorro",-G302,0)),2))</f>
      </c>
      <c r="M302" t="inlineStr" s="0">
        <is>
          <t/>
        </is>
      </c>
      <c r="N302" t="inlineStr" s="0">
        <is>
          <t/>
        </is>
      </c>
      <c r="O302" t="inlineStr" s="0">
        <is>
          <t/>
        </is>
      </c>
    </row>
    <row r="303">
      <c r="A303" t="str" s="0">
        <f>IF(G303="","","ALT-26-"&amp;TEXT(ROW()-1,"000"))</f>
        <v/>
      </c>
      <c r="B303" t="inlineStr" s="0">
        <is>
          <t/>
        </is>
      </c>
      <c r="C303" t="inlineStr" s="0">
        <is>
          <t/>
        </is>
      </c>
      <c r="D303" t="inlineStr" s="0">
        <is>
          <t/>
        </is>
      </c>
      <c r="E303" t="inlineStr" s="0">
        <is>
          <t/>
        </is>
      </c>
      <c r="F303" t="str" s="0">
        <f>IF(E303="","",IFERROR(VLOOKUP(E303,Config!$F$2:$G$60,2,FALSE),"Gasto"))</f>
        <v/>
      </c>
      <c r="G303" s="2"/>
      <c r="H303" s="2">
        <f>IF(G303="","",IF(IFERROR(VLOOKUP(E303,Config!$F$2:$H$60,3,FALSE),"Exento")="Afecto",ROUND(G303-(G303/1.12),2),0))</f>
      </c>
      <c r="I303" s="2">
        <f>IF(G303="","",ROUND(G303-H303,2))</f>
      </c>
      <c r="J303" t="inlineStr" s="0">
        <is>
          <t/>
        </is>
      </c>
      <c r="K303" s="3">
        <f>IF(G303="","",ROUND(K302+IF(J303="BI-Ahorro",0,IF(F303="Gasto",-G303,G303)),2))</f>
      </c>
      <c r="L303" s="2">
        <f>IF(G303="","",ROUND(L302+IF(LEFT(E303,4)="2102",G303,IF(J303="BI-Ahorro",-G303,0)),2))</f>
      </c>
      <c r="M303" t="inlineStr" s="0">
        <is>
          <t/>
        </is>
      </c>
      <c r="N303" t="inlineStr" s="0">
        <is>
          <t/>
        </is>
      </c>
      <c r="O303" t="inlineStr" s="0">
        <is>
          <t/>
        </is>
      </c>
    </row>
    <row r="304">
      <c r="A304" t="str" s="0">
        <f>IF(G304="","","ALT-26-"&amp;TEXT(ROW()-1,"000"))</f>
        <v/>
      </c>
      <c r="B304" t="inlineStr" s="0">
        <is>
          <t/>
        </is>
      </c>
      <c r="C304" t="inlineStr" s="0">
        <is>
          <t/>
        </is>
      </c>
      <c r="D304" t="inlineStr" s="0">
        <is>
          <t/>
        </is>
      </c>
      <c r="E304" t="inlineStr" s="0">
        <is>
          <t/>
        </is>
      </c>
      <c r="F304" t="str" s="0">
        <f>IF(E304="","",IFERROR(VLOOKUP(E304,Config!$F$2:$G$60,2,FALSE),"Gasto"))</f>
        <v/>
      </c>
      <c r="G304" s="2"/>
      <c r="H304" s="2">
        <f>IF(G304="","",IF(IFERROR(VLOOKUP(E304,Config!$F$2:$H$60,3,FALSE),"Exento")="Afecto",ROUND(G304-(G304/1.12),2),0))</f>
      </c>
      <c r="I304" s="2">
        <f>IF(G304="","",ROUND(G304-H304,2))</f>
      </c>
      <c r="J304" t="inlineStr" s="0">
        <is>
          <t/>
        </is>
      </c>
      <c r="K304" s="3">
        <f>IF(G304="","",ROUND(K303+IF(J304="BI-Ahorro",0,IF(F304="Gasto",-G304,G304)),2))</f>
      </c>
      <c r="L304" s="2">
        <f>IF(G304="","",ROUND(L303+IF(LEFT(E304,4)="2102",G304,IF(J304="BI-Ahorro",-G304,0)),2))</f>
      </c>
      <c r="M304" t="inlineStr" s="0">
        <is>
          <t/>
        </is>
      </c>
      <c r="N304" t="inlineStr" s="0">
        <is>
          <t/>
        </is>
      </c>
      <c r="O304" t="inlineStr" s="0">
        <is>
          <t/>
        </is>
      </c>
    </row>
    <row r="305">
      <c r="A305" t="str" s="0">
        <f>IF(G305="","","ALT-26-"&amp;TEXT(ROW()-1,"000"))</f>
        <v/>
      </c>
      <c r="B305" t="inlineStr" s="0">
        <is>
          <t/>
        </is>
      </c>
      <c r="C305" t="inlineStr" s="0">
        <is>
          <t/>
        </is>
      </c>
      <c r="D305" t="inlineStr" s="0">
        <is>
          <t/>
        </is>
      </c>
      <c r="E305" t="inlineStr" s="0">
        <is>
          <t/>
        </is>
      </c>
      <c r="F305" t="str" s="0">
        <f>IF(E305="","",IFERROR(VLOOKUP(E305,Config!$F$2:$G$60,2,FALSE),"Gasto"))</f>
        <v/>
      </c>
      <c r="G305" s="2"/>
      <c r="H305" s="2">
        <f>IF(G305="","",IF(IFERROR(VLOOKUP(E305,Config!$F$2:$H$60,3,FALSE),"Exento")="Afecto",ROUND(G305-(G305/1.12),2),0))</f>
      </c>
      <c r="I305" s="2">
        <f>IF(G305="","",ROUND(G305-H305,2))</f>
      </c>
      <c r="J305" t="inlineStr" s="0">
        <is>
          <t/>
        </is>
      </c>
      <c r="K305" s="3">
        <f>IF(G305="","",ROUND(K304+IF(J305="BI-Ahorro",0,IF(F305="Gasto",-G305,G305)),2))</f>
      </c>
      <c r="L305" s="2">
        <f>IF(G305="","",ROUND(L304+IF(LEFT(E305,4)="2102",G305,IF(J305="BI-Ahorro",-G305,0)),2))</f>
      </c>
      <c r="M305" t="inlineStr" s="0">
        <is>
          <t/>
        </is>
      </c>
      <c r="N305" t="inlineStr" s="0">
        <is>
          <t/>
        </is>
      </c>
      <c r="O305" t="inlineStr" s="0">
        <is>
          <t/>
        </is>
      </c>
    </row>
    <row r="306">
      <c r="A306" t="str" s="0">
        <f>IF(G306="","","ALT-26-"&amp;TEXT(ROW()-1,"000"))</f>
        <v/>
      </c>
      <c r="B306" t="inlineStr" s="0">
        <is>
          <t/>
        </is>
      </c>
      <c r="C306" t="inlineStr" s="0">
        <is>
          <t/>
        </is>
      </c>
      <c r="D306" t="inlineStr" s="0">
        <is>
          <t/>
        </is>
      </c>
      <c r="E306" t="inlineStr" s="0">
        <is>
          <t/>
        </is>
      </c>
      <c r="F306" t="str" s="0">
        <f>IF(E306="","",IFERROR(VLOOKUP(E306,Config!$F$2:$G$60,2,FALSE),"Gasto"))</f>
        <v/>
      </c>
      <c r="G306" s="2"/>
      <c r="H306" s="2">
        <f>IF(G306="","",IF(IFERROR(VLOOKUP(E306,Config!$F$2:$H$60,3,FALSE),"Exento")="Afecto",ROUND(G306-(G306/1.12),2),0))</f>
      </c>
      <c r="I306" s="2">
        <f>IF(G306="","",ROUND(G306-H306,2))</f>
      </c>
      <c r="J306" t="inlineStr" s="0">
        <is>
          <t/>
        </is>
      </c>
      <c r="K306" s="3">
        <f>IF(G306="","",ROUND(K305+IF(J306="BI-Ahorro",0,IF(F306="Gasto",-G306,G306)),2))</f>
      </c>
      <c r="L306" s="2">
        <f>IF(G306="","",ROUND(L305+IF(LEFT(E306,4)="2102",G306,IF(J306="BI-Ahorro",-G306,0)),2))</f>
      </c>
      <c r="M306" t="inlineStr" s="0">
        <is>
          <t/>
        </is>
      </c>
      <c r="N306" t="inlineStr" s="0">
        <is>
          <t/>
        </is>
      </c>
      <c r="O306" t="inlineStr" s="0">
        <is>
          <t/>
        </is>
      </c>
    </row>
    <row r="307">
      <c r="A307" t="str" s="0">
        <f>IF(G307="","","ALT-26-"&amp;TEXT(ROW()-1,"000"))</f>
        <v/>
      </c>
      <c r="B307" t="inlineStr" s="0">
        <is>
          <t/>
        </is>
      </c>
      <c r="C307" t="inlineStr" s="0">
        <is>
          <t/>
        </is>
      </c>
      <c r="D307" t="inlineStr" s="0">
        <is>
          <t/>
        </is>
      </c>
      <c r="E307" t="inlineStr" s="0">
        <is>
          <t/>
        </is>
      </c>
      <c r="F307" t="str" s="0">
        <f>IF(E307="","",IFERROR(VLOOKUP(E307,Config!$F$2:$G$60,2,FALSE),"Gasto"))</f>
        <v/>
      </c>
      <c r="G307" s="2"/>
      <c r="H307" s="2">
        <f>IF(G307="","",IF(IFERROR(VLOOKUP(E307,Config!$F$2:$H$60,3,FALSE),"Exento")="Afecto",ROUND(G307-(G307/1.12),2),0))</f>
      </c>
      <c r="I307" s="2">
        <f>IF(G307="","",ROUND(G307-H307,2))</f>
      </c>
      <c r="J307" t="inlineStr" s="0">
        <is>
          <t/>
        </is>
      </c>
      <c r="K307" s="3">
        <f>IF(G307="","",ROUND(K306+IF(J307="BI-Ahorro",0,IF(F307="Gasto",-G307,G307)),2))</f>
      </c>
      <c r="L307" s="2">
        <f>IF(G307="","",ROUND(L306+IF(LEFT(E307,4)="2102",G307,IF(J307="BI-Ahorro",-G307,0)),2))</f>
      </c>
      <c r="M307" t="inlineStr" s="0">
        <is>
          <t/>
        </is>
      </c>
      <c r="N307" t="inlineStr" s="0">
        <is>
          <t/>
        </is>
      </c>
      <c r="O307" t="inlineStr" s="0">
        <is>
          <t/>
        </is>
      </c>
    </row>
    <row r="308">
      <c r="A308" t="str" s="0">
        <f>IF(G308="","","ALT-26-"&amp;TEXT(ROW()-1,"000"))</f>
        <v/>
      </c>
      <c r="B308" t="inlineStr" s="0">
        <is>
          <t/>
        </is>
      </c>
      <c r="C308" t="inlineStr" s="0">
        <is>
          <t/>
        </is>
      </c>
      <c r="D308" t="inlineStr" s="0">
        <is>
          <t/>
        </is>
      </c>
      <c r="E308" t="inlineStr" s="0">
        <is>
          <t/>
        </is>
      </c>
      <c r="F308" t="str" s="0">
        <f>IF(E308="","",IFERROR(VLOOKUP(E308,Config!$F$2:$G$60,2,FALSE),"Gasto"))</f>
        <v/>
      </c>
      <c r="G308" s="2"/>
      <c r="H308" s="2">
        <f>IF(G308="","",IF(IFERROR(VLOOKUP(E308,Config!$F$2:$H$60,3,FALSE),"Exento")="Afecto",ROUND(G308-(G308/1.12),2),0))</f>
      </c>
      <c r="I308" s="2">
        <f>IF(G308="","",ROUND(G308-H308,2))</f>
      </c>
      <c r="J308" t="inlineStr" s="0">
        <is>
          <t/>
        </is>
      </c>
      <c r="K308" s="3">
        <f>IF(G308="","",ROUND(K307+IF(J308="BI-Ahorro",0,IF(F308="Gasto",-G308,G308)),2))</f>
      </c>
      <c r="L308" s="2">
        <f>IF(G308="","",ROUND(L307+IF(LEFT(E308,4)="2102",G308,IF(J308="BI-Ahorro",-G308,0)),2))</f>
      </c>
      <c r="M308" t="inlineStr" s="0">
        <is>
          <t/>
        </is>
      </c>
      <c r="N308" t="inlineStr" s="0">
        <is>
          <t/>
        </is>
      </c>
      <c r="O308" t="inlineStr" s="0">
        <is>
          <t/>
        </is>
      </c>
    </row>
    <row r="309">
      <c r="A309" t="str" s="0">
        <f>IF(G309="","","ALT-26-"&amp;TEXT(ROW()-1,"000"))</f>
        <v/>
      </c>
      <c r="B309" t="inlineStr" s="0">
        <is>
          <t/>
        </is>
      </c>
      <c r="C309" t="inlineStr" s="0">
        <is>
          <t/>
        </is>
      </c>
      <c r="D309" t="inlineStr" s="0">
        <is>
          <t/>
        </is>
      </c>
      <c r="E309" t="inlineStr" s="0">
        <is>
          <t/>
        </is>
      </c>
      <c r="F309" t="str" s="0">
        <f>IF(E309="","",IFERROR(VLOOKUP(E309,Config!$F$2:$G$60,2,FALSE),"Gasto"))</f>
        <v/>
      </c>
      <c r="G309" s="2"/>
      <c r="H309" s="2">
        <f>IF(G309="","",IF(IFERROR(VLOOKUP(E309,Config!$F$2:$H$60,3,FALSE),"Exento")="Afecto",ROUND(G309-(G309/1.12),2),0))</f>
      </c>
      <c r="I309" s="2">
        <f>IF(G309="","",ROUND(G309-H309,2))</f>
      </c>
      <c r="J309" t="inlineStr" s="0">
        <is>
          <t/>
        </is>
      </c>
      <c r="K309" s="3">
        <f>IF(G309="","",ROUND(K308+IF(J309="BI-Ahorro",0,IF(F309="Gasto",-G309,G309)),2))</f>
      </c>
      <c r="L309" s="2">
        <f>IF(G309="","",ROUND(L308+IF(LEFT(E309,4)="2102",G309,IF(J309="BI-Ahorro",-G309,0)),2))</f>
      </c>
      <c r="M309" t="inlineStr" s="0">
        <is>
          <t/>
        </is>
      </c>
      <c r="N309" t="inlineStr" s="0">
        <is>
          <t/>
        </is>
      </c>
      <c r="O309" t="inlineStr" s="0">
        <is>
          <t/>
        </is>
      </c>
    </row>
    <row r="310">
      <c r="A310" t="str" s="0">
        <f>IF(G310="","","ALT-26-"&amp;TEXT(ROW()-1,"000"))</f>
        <v/>
      </c>
      <c r="B310" t="inlineStr" s="0">
        <is>
          <t/>
        </is>
      </c>
      <c r="C310" t="inlineStr" s="0">
        <is>
          <t/>
        </is>
      </c>
      <c r="D310" t="inlineStr" s="0">
        <is>
          <t/>
        </is>
      </c>
      <c r="E310" t="inlineStr" s="0">
        <is>
          <t/>
        </is>
      </c>
      <c r="F310" t="str" s="0">
        <f>IF(E310="","",IFERROR(VLOOKUP(E310,Config!$F$2:$G$60,2,FALSE),"Gasto"))</f>
        <v/>
      </c>
      <c r="G310" s="2"/>
      <c r="H310" s="2">
        <f>IF(G310="","",IF(IFERROR(VLOOKUP(E310,Config!$F$2:$H$60,3,FALSE),"Exento")="Afecto",ROUND(G310-(G310/1.12),2),0))</f>
      </c>
      <c r="I310" s="2">
        <f>IF(G310="","",ROUND(G310-H310,2))</f>
      </c>
      <c r="J310" t="inlineStr" s="0">
        <is>
          <t/>
        </is>
      </c>
      <c r="K310" s="3">
        <f>IF(G310="","",ROUND(K309+IF(J310="BI-Ahorro",0,IF(F310="Gasto",-G310,G310)),2))</f>
      </c>
      <c r="L310" s="2">
        <f>IF(G310="","",ROUND(L309+IF(LEFT(E310,4)="2102",G310,IF(J310="BI-Ahorro",-G310,0)),2))</f>
      </c>
      <c r="M310" t="inlineStr" s="0">
        <is>
          <t/>
        </is>
      </c>
      <c r="N310" t="inlineStr" s="0">
        <is>
          <t/>
        </is>
      </c>
      <c r="O310" t="inlineStr" s="0">
        <is>
          <t/>
        </is>
      </c>
    </row>
    <row r="311">
      <c r="A311" t="str" s="0">
        <f>IF(G311="","","ALT-26-"&amp;TEXT(ROW()-1,"000"))</f>
        <v/>
      </c>
      <c r="B311" t="inlineStr" s="0">
        <is>
          <t/>
        </is>
      </c>
      <c r="C311" t="inlineStr" s="0">
        <is>
          <t/>
        </is>
      </c>
      <c r="D311" t="inlineStr" s="0">
        <is>
          <t/>
        </is>
      </c>
      <c r="E311" t="inlineStr" s="0">
        <is>
          <t/>
        </is>
      </c>
      <c r="F311" t="str" s="0">
        <f>IF(E311="","",IFERROR(VLOOKUP(E311,Config!$F$2:$G$60,2,FALSE),"Gasto"))</f>
        <v/>
      </c>
      <c r="G311" s="2"/>
      <c r="H311" s="2">
        <f>IF(G311="","",IF(IFERROR(VLOOKUP(E311,Config!$F$2:$H$60,3,FALSE),"Exento")="Afecto",ROUND(G311-(G311/1.12),2),0))</f>
      </c>
      <c r="I311" s="2">
        <f>IF(G311="","",ROUND(G311-H311,2))</f>
      </c>
      <c r="J311" t="inlineStr" s="0">
        <is>
          <t/>
        </is>
      </c>
      <c r="K311" s="3">
        <f>IF(G311="","",ROUND(K310+IF(J311="BI-Ahorro",0,IF(F311="Gasto",-G311,G311)),2))</f>
      </c>
      <c r="L311" s="2">
        <f>IF(G311="","",ROUND(L310+IF(LEFT(E311,4)="2102",G311,IF(J311="BI-Ahorro",-G311,0)),2))</f>
      </c>
      <c r="M311" t="inlineStr" s="0">
        <is>
          <t/>
        </is>
      </c>
      <c r="N311" t="inlineStr" s="0">
        <is>
          <t/>
        </is>
      </c>
      <c r="O311" t="inlineStr" s="0">
        <is>
          <t/>
        </is>
      </c>
    </row>
    <row r="312">
      <c r="A312" t="str" s="0">
        <f>IF(G312="","","ALT-26-"&amp;TEXT(ROW()-1,"000"))</f>
        <v/>
      </c>
      <c r="B312" t="inlineStr" s="0">
        <is>
          <t/>
        </is>
      </c>
      <c r="C312" t="inlineStr" s="0">
        <is>
          <t/>
        </is>
      </c>
      <c r="D312" t="inlineStr" s="0">
        <is>
          <t/>
        </is>
      </c>
      <c r="E312" t="inlineStr" s="0">
        <is>
          <t/>
        </is>
      </c>
      <c r="F312" t="str" s="0">
        <f>IF(E312="","",IFERROR(VLOOKUP(E312,Config!$F$2:$G$60,2,FALSE),"Gasto"))</f>
        <v/>
      </c>
      <c r="G312" s="2"/>
      <c r="H312" s="2">
        <f>IF(G312="","",IF(IFERROR(VLOOKUP(E312,Config!$F$2:$H$60,3,FALSE),"Exento")="Afecto",ROUND(G312-(G312/1.12),2),0))</f>
      </c>
      <c r="I312" s="2">
        <f>IF(G312="","",ROUND(G312-H312,2))</f>
      </c>
      <c r="J312" t="inlineStr" s="0">
        <is>
          <t/>
        </is>
      </c>
      <c r="K312" s="3">
        <f>IF(G312="","",ROUND(K311+IF(J312="BI-Ahorro",0,IF(F312="Gasto",-G312,G312)),2))</f>
      </c>
      <c r="L312" s="2">
        <f>IF(G312="","",ROUND(L311+IF(LEFT(E312,4)="2102",G312,IF(J312="BI-Ahorro",-G312,0)),2))</f>
      </c>
      <c r="M312" t="inlineStr" s="0">
        <is>
          <t/>
        </is>
      </c>
      <c r="N312" t="inlineStr" s="0">
        <is>
          <t/>
        </is>
      </c>
      <c r="O312" t="inlineStr" s="0">
        <is>
          <t/>
        </is>
      </c>
    </row>
    <row r="313">
      <c r="A313" t="str" s="0">
        <f>IF(G313="","","ALT-26-"&amp;TEXT(ROW()-1,"000"))</f>
        <v/>
      </c>
      <c r="B313" t="inlineStr" s="0">
        <is>
          <t/>
        </is>
      </c>
      <c r="C313" t="inlineStr" s="0">
        <is>
          <t/>
        </is>
      </c>
      <c r="D313" t="inlineStr" s="0">
        <is>
          <t/>
        </is>
      </c>
      <c r="E313" t="inlineStr" s="0">
        <is>
          <t/>
        </is>
      </c>
      <c r="F313" t="str" s="0">
        <f>IF(E313="","",IFERROR(VLOOKUP(E313,Config!$F$2:$G$60,2,FALSE),"Gasto"))</f>
        <v/>
      </c>
      <c r="G313" s="2"/>
      <c r="H313" s="2">
        <f>IF(G313="","",IF(IFERROR(VLOOKUP(E313,Config!$F$2:$H$60,3,FALSE),"Exento")="Afecto",ROUND(G313-(G313/1.12),2),0))</f>
      </c>
      <c r="I313" s="2">
        <f>IF(G313="","",ROUND(G313-H313,2))</f>
      </c>
      <c r="J313" t="inlineStr" s="0">
        <is>
          <t/>
        </is>
      </c>
      <c r="K313" s="3">
        <f>IF(G313="","",ROUND(K312+IF(J313="BI-Ahorro",0,IF(F313="Gasto",-G313,G313)),2))</f>
      </c>
      <c r="L313" s="2">
        <f>IF(G313="","",ROUND(L312+IF(LEFT(E313,4)="2102",G313,IF(J313="BI-Ahorro",-G313,0)),2))</f>
      </c>
      <c r="M313" t="inlineStr" s="0">
        <is>
          <t/>
        </is>
      </c>
      <c r="N313" t="inlineStr" s="0">
        <is>
          <t/>
        </is>
      </c>
      <c r="O313" t="inlineStr" s="0">
        <is>
          <t/>
        </is>
      </c>
    </row>
    <row r="314">
      <c r="A314" t="str" s="0">
        <f>IF(G314="","","ALT-26-"&amp;TEXT(ROW()-1,"000"))</f>
        <v/>
      </c>
      <c r="B314" t="inlineStr" s="0">
        <is>
          <t/>
        </is>
      </c>
      <c r="C314" t="inlineStr" s="0">
        <is>
          <t/>
        </is>
      </c>
      <c r="D314" t="inlineStr" s="0">
        <is>
          <t/>
        </is>
      </c>
      <c r="E314" t="inlineStr" s="0">
        <is>
          <t/>
        </is>
      </c>
      <c r="F314" t="str" s="0">
        <f>IF(E314="","",IFERROR(VLOOKUP(E314,Config!$F$2:$G$60,2,FALSE),"Gasto"))</f>
        <v/>
      </c>
      <c r="G314" s="2"/>
      <c r="H314" s="2">
        <f>IF(G314="","",IF(IFERROR(VLOOKUP(E314,Config!$F$2:$H$60,3,FALSE),"Exento")="Afecto",ROUND(G314-(G314/1.12),2),0))</f>
      </c>
      <c r="I314" s="2">
        <f>IF(G314="","",ROUND(G314-H314,2))</f>
      </c>
      <c r="J314" t="inlineStr" s="0">
        <is>
          <t/>
        </is>
      </c>
      <c r="K314" s="3">
        <f>IF(G314="","",ROUND(K313+IF(J314="BI-Ahorro",0,IF(F314="Gasto",-G314,G314)),2))</f>
      </c>
      <c r="L314" s="2">
        <f>IF(G314="","",ROUND(L313+IF(LEFT(E314,4)="2102",G314,IF(J314="BI-Ahorro",-G314,0)),2))</f>
      </c>
      <c r="M314" t="inlineStr" s="0">
        <is>
          <t/>
        </is>
      </c>
      <c r="N314" t="inlineStr" s="0">
        <is>
          <t/>
        </is>
      </c>
      <c r="O314" t="inlineStr" s="0">
        <is>
          <t/>
        </is>
      </c>
    </row>
    <row r="315">
      <c r="A315" t="str" s="0">
        <f>IF(G315="","","ALT-26-"&amp;TEXT(ROW()-1,"000"))</f>
        <v/>
      </c>
      <c r="B315" t="inlineStr" s="0">
        <is>
          <t/>
        </is>
      </c>
      <c r="C315" t="inlineStr" s="0">
        <is>
          <t/>
        </is>
      </c>
      <c r="D315" t="inlineStr" s="0">
        <is>
          <t/>
        </is>
      </c>
      <c r="E315" t="inlineStr" s="0">
        <is>
          <t/>
        </is>
      </c>
      <c r="F315" t="str" s="0">
        <f>IF(E315="","",IFERROR(VLOOKUP(E315,Config!$F$2:$G$60,2,FALSE),"Gasto"))</f>
        <v/>
      </c>
      <c r="G315" s="2"/>
      <c r="H315" s="2">
        <f>IF(G315="","",IF(IFERROR(VLOOKUP(E315,Config!$F$2:$H$60,3,FALSE),"Exento")="Afecto",ROUND(G315-(G315/1.12),2),0))</f>
      </c>
      <c r="I315" s="2">
        <f>IF(G315="","",ROUND(G315-H315,2))</f>
      </c>
      <c r="J315" t="inlineStr" s="0">
        <is>
          <t/>
        </is>
      </c>
      <c r="K315" s="3">
        <f>IF(G315="","",ROUND(K314+IF(J315="BI-Ahorro",0,IF(F315="Gasto",-G315,G315)),2))</f>
      </c>
      <c r="L315" s="2">
        <f>IF(G315="","",ROUND(L314+IF(LEFT(E315,4)="2102",G315,IF(J315="BI-Ahorro",-G315,0)),2))</f>
      </c>
      <c r="M315" t="inlineStr" s="0">
        <is>
          <t/>
        </is>
      </c>
      <c r="N315" t="inlineStr" s="0">
        <is>
          <t/>
        </is>
      </c>
      <c r="O315" t="inlineStr" s="0">
        <is>
          <t/>
        </is>
      </c>
    </row>
    <row r="316">
      <c r="A316" t="str" s="0">
        <f>IF(G316="","","ALT-26-"&amp;TEXT(ROW()-1,"000"))</f>
        <v/>
      </c>
      <c r="B316" t="inlineStr" s="0">
        <is>
          <t/>
        </is>
      </c>
      <c r="C316" t="inlineStr" s="0">
        <is>
          <t/>
        </is>
      </c>
      <c r="D316" t="inlineStr" s="0">
        <is>
          <t/>
        </is>
      </c>
      <c r="E316" t="inlineStr" s="0">
        <is>
          <t/>
        </is>
      </c>
      <c r="F316" t="str" s="0">
        <f>IF(E316="","",IFERROR(VLOOKUP(E316,Config!$F$2:$G$60,2,FALSE),"Gasto"))</f>
        <v/>
      </c>
      <c r="G316" s="2"/>
      <c r="H316" s="2">
        <f>IF(G316="","",IF(IFERROR(VLOOKUP(E316,Config!$F$2:$H$60,3,FALSE),"Exento")="Afecto",ROUND(G316-(G316/1.12),2),0))</f>
      </c>
      <c r="I316" s="2">
        <f>IF(G316="","",ROUND(G316-H316,2))</f>
      </c>
      <c r="J316" t="inlineStr" s="0">
        <is>
          <t/>
        </is>
      </c>
      <c r="K316" s="3">
        <f>IF(G316="","",ROUND(K315+IF(J316="BI-Ahorro",0,IF(F316="Gasto",-G316,G316)),2))</f>
      </c>
      <c r="L316" s="2">
        <f>IF(G316="","",ROUND(L315+IF(LEFT(E316,4)="2102",G316,IF(J316="BI-Ahorro",-G316,0)),2))</f>
      </c>
      <c r="M316" t="inlineStr" s="0">
        <is>
          <t/>
        </is>
      </c>
      <c r="N316" t="inlineStr" s="0">
        <is>
          <t/>
        </is>
      </c>
      <c r="O316" t="inlineStr" s="0">
        <is>
          <t/>
        </is>
      </c>
    </row>
    <row r="317">
      <c r="A317" t="str" s="0">
        <f>IF(G317="","","ALT-26-"&amp;TEXT(ROW()-1,"000"))</f>
        <v/>
      </c>
      <c r="B317" t="inlineStr" s="0">
        <is>
          <t/>
        </is>
      </c>
      <c r="C317" t="inlineStr" s="0">
        <is>
          <t/>
        </is>
      </c>
      <c r="D317" t="inlineStr" s="0">
        <is>
          <t/>
        </is>
      </c>
      <c r="E317" t="inlineStr" s="0">
        <is>
          <t/>
        </is>
      </c>
      <c r="F317" t="str" s="0">
        <f>IF(E317="","",IFERROR(VLOOKUP(E317,Config!$F$2:$G$60,2,FALSE),"Gasto"))</f>
        <v/>
      </c>
      <c r="G317" s="2"/>
      <c r="H317" s="2">
        <f>IF(G317="","",IF(IFERROR(VLOOKUP(E317,Config!$F$2:$H$60,3,FALSE),"Exento")="Afecto",ROUND(G317-(G317/1.12),2),0))</f>
      </c>
      <c r="I317" s="2">
        <f>IF(G317="","",ROUND(G317-H317,2))</f>
      </c>
      <c r="J317" t="inlineStr" s="0">
        <is>
          <t/>
        </is>
      </c>
      <c r="K317" s="3">
        <f>IF(G317="","",ROUND(K316+IF(J317="BI-Ahorro",0,IF(F317="Gasto",-G317,G317)),2))</f>
      </c>
      <c r="L317" s="2">
        <f>IF(G317="","",ROUND(L316+IF(LEFT(E317,4)="2102",G317,IF(J317="BI-Ahorro",-G317,0)),2))</f>
      </c>
      <c r="M317" t="inlineStr" s="0">
        <is>
          <t/>
        </is>
      </c>
      <c r="N317" t="inlineStr" s="0">
        <is>
          <t/>
        </is>
      </c>
      <c r="O317" t="inlineStr" s="0">
        <is>
          <t/>
        </is>
      </c>
    </row>
    <row r="318">
      <c r="A318" t="str" s="0">
        <f>IF(G318="","","ALT-26-"&amp;TEXT(ROW()-1,"000"))</f>
        <v/>
      </c>
      <c r="B318" t="inlineStr" s="0">
        <is>
          <t/>
        </is>
      </c>
      <c r="C318" t="inlineStr" s="0">
        <is>
          <t/>
        </is>
      </c>
      <c r="D318" t="inlineStr" s="0">
        <is>
          <t/>
        </is>
      </c>
      <c r="E318" t="inlineStr" s="0">
        <is>
          <t/>
        </is>
      </c>
      <c r="F318" t="str" s="0">
        <f>IF(E318="","",IFERROR(VLOOKUP(E318,Config!$F$2:$G$60,2,FALSE),"Gasto"))</f>
        <v/>
      </c>
      <c r="G318" s="2"/>
      <c r="H318" s="2">
        <f>IF(G318="","",IF(IFERROR(VLOOKUP(E318,Config!$F$2:$H$60,3,FALSE),"Exento")="Afecto",ROUND(G318-(G318/1.12),2),0))</f>
      </c>
      <c r="I318" s="2">
        <f>IF(G318="","",ROUND(G318-H318,2))</f>
      </c>
      <c r="J318" t="inlineStr" s="0">
        <is>
          <t/>
        </is>
      </c>
      <c r="K318" s="3">
        <f>IF(G318="","",ROUND(K317+IF(J318="BI-Ahorro",0,IF(F318="Gasto",-G318,G318)),2))</f>
      </c>
      <c r="L318" s="2">
        <f>IF(G318="","",ROUND(L317+IF(LEFT(E318,4)="2102",G318,IF(J318="BI-Ahorro",-G318,0)),2))</f>
      </c>
      <c r="M318" t="inlineStr" s="0">
        <is>
          <t/>
        </is>
      </c>
      <c r="N318" t="inlineStr" s="0">
        <is>
          <t/>
        </is>
      </c>
      <c r="O318" t="inlineStr" s="0">
        <is>
          <t/>
        </is>
      </c>
    </row>
    <row r="319">
      <c r="A319" t="str" s="0">
        <f>IF(G319="","","ALT-26-"&amp;TEXT(ROW()-1,"000"))</f>
        <v/>
      </c>
      <c r="B319" t="inlineStr" s="0">
        <is>
          <t/>
        </is>
      </c>
      <c r="C319" t="inlineStr" s="0">
        <is>
          <t/>
        </is>
      </c>
      <c r="D319" t="inlineStr" s="0">
        <is>
          <t/>
        </is>
      </c>
      <c r="E319" t="inlineStr" s="0">
        <is>
          <t/>
        </is>
      </c>
      <c r="F319" t="str" s="0">
        <f>IF(E319="","",IFERROR(VLOOKUP(E319,Config!$F$2:$G$60,2,FALSE),"Gasto"))</f>
        <v/>
      </c>
      <c r="G319" s="2"/>
      <c r="H319" s="2">
        <f>IF(G319="","",IF(IFERROR(VLOOKUP(E319,Config!$F$2:$H$60,3,FALSE),"Exento")="Afecto",ROUND(G319-(G319/1.12),2),0))</f>
      </c>
      <c r="I319" s="2">
        <f>IF(G319="","",ROUND(G319-H319,2))</f>
      </c>
      <c r="J319" t="inlineStr" s="0">
        <is>
          <t/>
        </is>
      </c>
      <c r="K319" s="3">
        <f>IF(G319="","",ROUND(K318+IF(J319="BI-Ahorro",0,IF(F319="Gasto",-G319,G319)),2))</f>
      </c>
      <c r="L319" s="2">
        <f>IF(G319="","",ROUND(L318+IF(LEFT(E319,4)="2102",G319,IF(J319="BI-Ahorro",-G319,0)),2))</f>
      </c>
      <c r="M319" t="inlineStr" s="0">
        <is>
          <t/>
        </is>
      </c>
      <c r="N319" t="inlineStr" s="0">
        <is>
          <t/>
        </is>
      </c>
      <c r="O319" t="inlineStr" s="0">
        <is>
          <t/>
        </is>
      </c>
    </row>
    <row r="320">
      <c r="A320" t="str" s="0">
        <f>IF(G320="","","ALT-26-"&amp;TEXT(ROW()-1,"000"))</f>
        <v/>
      </c>
      <c r="B320" t="inlineStr" s="0">
        <is>
          <t/>
        </is>
      </c>
      <c r="C320" t="inlineStr" s="0">
        <is>
          <t/>
        </is>
      </c>
      <c r="D320" t="inlineStr" s="0">
        <is>
          <t/>
        </is>
      </c>
      <c r="E320" t="inlineStr" s="0">
        <is>
          <t/>
        </is>
      </c>
      <c r="F320" t="str" s="0">
        <f>IF(E320="","",IFERROR(VLOOKUP(E320,Config!$F$2:$G$60,2,FALSE),"Gasto"))</f>
        <v/>
      </c>
      <c r="G320" s="2"/>
      <c r="H320" s="2">
        <f>IF(G320="","",IF(IFERROR(VLOOKUP(E320,Config!$F$2:$H$60,3,FALSE),"Exento")="Afecto",ROUND(G320-(G320/1.12),2),0))</f>
      </c>
      <c r="I320" s="2">
        <f>IF(G320="","",ROUND(G320-H320,2))</f>
      </c>
      <c r="J320" t="inlineStr" s="0">
        <is>
          <t/>
        </is>
      </c>
      <c r="K320" s="3">
        <f>IF(G320="","",ROUND(K319+IF(J320="BI-Ahorro",0,IF(F320="Gasto",-G320,G320)),2))</f>
      </c>
      <c r="L320" s="2">
        <f>IF(G320="","",ROUND(L319+IF(LEFT(E320,4)="2102",G320,IF(J320="BI-Ahorro",-G320,0)),2))</f>
      </c>
      <c r="M320" t="inlineStr" s="0">
        <is>
          <t/>
        </is>
      </c>
      <c r="N320" t="inlineStr" s="0">
        <is>
          <t/>
        </is>
      </c>
      <c r="O320" t="inlineStr" s="0">
        <is>
          <t/>
        </is>
      </c>
    </row>
    <row r="321">
      <c r="A321" t="str" s="0">
        <f>IF(G321="","","ALT-26-"&amp;TEXT(ROW()-1,"000"))</f>
        <v/>
      </c>
      <c r="B321" t="inlineStr" s="0">
        <is>
          <t/>
        </is>
      </c>
      <c r="C321" t="inlineStr" s="0">
        <is>
          <t/>
        </is>
      </c>
      <c r="D321" t="inlineStr" s="0">
        <is>
          <t/>
        </is>
      </c>
      <c r="E321" t="inlineStr" s="0">
        <is>
          <t/>
        </is>
      </c>
      <c r="F321" t="str" s="0">
        <f>IF(E321="","",IFERROR(VLOOKUP(E321,Config!$F$2:$G$60,2,FALSE),"Gasto"))</f>
        <v/>
      </c>
      <c r="G321" s="2"/>
      <c r="H321" s="2">
        <f>IF(G321="","",IF(IFERROR(VLOOKUP(E321,Config!$F$2:$H$60,3,FALSE),"Exento")="Afecto",ROUND(G321-(G321/1.12),2),0))</f>
      </c>
      <c r="I321" s="2">
        <f>IF(G321="","",ROUND(G321-H321,2))</f>
      </c>
      <c r="J321" t="inlineStr" s="0">
        <is>
          <t/>
        </is>
      </c>
      <c r="K321" s="3">
        <f>IF(G321="","",ROUND(K320+IF(J321="BI-Ahorro",0,IF(F321="Gasto",-G321,G321)),2))</f>
      </c>
      <c r="L321" s="2">
        <f>IF(G321="","",ROUND(L320+IF(LEFT(E321,4)="2102",G321,IF(J321="BI-Ahorro",-G321,0)),2))</f>
      </c>
      <c r="M321" t="inlineStr" s="0">
        <is>
          <t/>
        </is>
      </c>
      <c r="N321" t="inlineStr" s="0">
        <is>
          <t/>
        </is>
      </c>
      <c r="O321" t="inlineStr" s="0">
        <is>
          <t/>
        </is>
      </c>
    </row>
    <row r="322">
      <c r="A322" t="str" s="0">
        <f>IF(G322="","","ALT-26-"&amp;TEXT(ROW()-1,"000"))</f>
        <v/>
      </c>
      <c r="B322" t="inlineStr" s="0">
        <is>
          <t/>
        </is>
      </c>
      <c r="C322" t="inlineStr" s="0">
        <is>
          <t/>
        </is>
      </c>
      <c r="D322" t="inlineStr" s="0">
        <is>
          <t/>
        </is>
      </c>
      <c r="E322" t="inlineStr" s="0">
        <is>
          <t/>
        </is>
      </c>
      <c r="F322" t="str" s="0">
        <f>IF(E322="","",IFERROR(VLOOKUP(E322,Config!$F$2:$G$60,2,FALSE),"Gasto"))</f>
        <v/>
      </c>
      <c r="G322" s="2"/>
      <c r="H322" s="2">
        <f>IF(G322="","",IF(IFERROR(VLOOKUP(E322,Config!$F$2:$H$60,3,FALSE),"Exento")="Afecto",ROUND(G322-(G322/1.12),2),0))</f>
      </c>
      <c r="I322" s="2">
        <f>IF(G322="","",ROUND(G322-H322,2))</f>
      </c>
      <c r="J322" t="inlineStr" s="0">
        <is>
          <t/>
        </is>
      </c>
      <c r="K322" s="3">
        <f>IF(G322="","",ROUND(K321+IF(J322="BI-Ahorro",0,IF(F322="Gasto",-G322,G322)),2))</f>
      </c>
      <c r="L322" s="2">
        <f>IF(G322="","",ROUND(L321+IF(LEFT(E322,4)="2102",G322,IF(J322="BI-Ahorro",-G322,0)),2))</f>
      </c>
      <c r="M322" t="inlineStr" s="0">
        <is>
          <t/>
        </is>
      </c>
      <c r="N322" t="inlineStr" s="0">
        <is>
          <t/>
        </is>
      </c>
      <c r="O322" t="inlineStr" s="0">
        <is>
          <t/>
        </is>
      </c>
    </row>
    <row r="323">
      <c r="A323" t="str" s="0">
        <f>IF(G323="","","ALT-26-"&amp;TEXT(ROW()-1,"000"))</f>
        <v/>
      </c>
      <c r="B323" t="inlineStr" s="0">
        <is>
          <t/>
        </is>
      </c>
      <c r="C323" t="inlineStr" s="0">
        <is>
          <t/>
        </is>
      </c>
      <c r="D323" t="inlineStr" s="0">
        <is>
          <t/>
        </is>
      </c>
      <c r="E323" t="inlineStr" s="0">
        <is>
          <t/>
        </is>
      </c>
      <c r="F323" t="str" s="0">
        <f>IF(E323="","",IFERROR(VLOOKUP(E323,Config!$F$2:$G$60,2,FALSE),"Gasto"))</f>
        <v/>
      </c>
      <c r="G323" s="2"/>
      <c r="H323" s="2">
        <f>IF(G323="","",IF(IFERROR(VLOOKUP(E323,Config!$F$2:$H$60,3,FALSE),"Exento")="Afecto",ROUND(G323-(G323/1.12),2),0))</f>
      </c>
      <c r="I323" s="2">
        <f>IF(G323="","",ROUND(G323-H323,2))</f>
      </c>
      <c r="J323" t="inlineStr" s="0">
        <is>
          <t/>
        </is>
      </c>
      <c r="K323" s="3">
        <f>IF(G323="","",ROUND(K322+IF(J323="BI-Ahorro",0,IF(F323="Gasto",-G323,G323)),2))</f>
      </c>
      <c r="L323" s="2">
        <f>IF(G323="","",ROUND(L322+IF(LEFT(E323,4)="2102",G323,IF(J323="BI-Ahorro",-G323,0)),2))</f>
      </c>
      <c r="M323" t="inlineStr" s="0">
        <is>
          <t/>
        </is>
      </c>
      <c r="N323" t="inlineStr" s="0">
        <is>
          <t/>
        </is>
      </c>
      <c r="O323" t="inlineStr" s="0">
        <is>
          <t/>
        </is>
      </c>
    </row>
    <row r="324">
      <c r="A324" t="str" s="0">
        <f>IF(G324="","","ALT-26-"&amp;TEXT(ROW()-1,"000"))</f>
        <v/>
      </c>
      <c r="B324" t="inlineStr" s="0">
        <is>
          <t/>
        </is>
      </c>
      <c r="C324" t="inlineStr" s="0">
        <is>
          <t/>
        </is>
      </c>
      <c r="D324" t="inlineStr" s="0">
        <is>
          <t/>
        </is>
      </c>
      <c r="E324" t="inlineStr" s="0">
        <is>
          <t/>
        </is>
      </c>
      <c r="F324" t="str" s="0">
        <f>IF(E324="","",IFERROR(VLOOKUP(E324,Config!$F$2:$G$60,2,FALSE),"Gasto"))</f>
        <v/>
      </c>
      <c r="G324" s="2"/>
      <c r="H324" s="2">
        <f>IF(G324="","",IF(IFERROR(VLOOKUP(E324,Config!$F$2:$H$60,3,FALSE),"Exento")="Afecto",ROUND(G324-(G324/1.12),2),0))</f>
      </c>
      <c r="I324" s="2">
        <f>IF(G324="","",ROUND(G324-H324,2))</f>
      </c>
      <c r="J324" t="inlineStr" s="0">
        <is>
          <t/>
        </is>
      </c>
      <c r="K324" s="3">
        <f>IF(G324="","",ROUND(K323+IF(J324="BI-Ahorro",0,IF(F324="Gasto",-G324,G324)),2))</f>
      </c>
      <c r="L324" s="2">
        <f>IF(G324="","",ROUND(L323+IF(LEFT(E324,4)="2102",G324,IF(J324="BI-Ahorro",-G324,0)),2))</f>
      </c>
      <c r="M324" t="inlineStr" s="0">
        <is>
          <t/>
        </is>
      </c>
      <c r="N324" t="inlineStr" s="0">
        <is>
          <t/>
        </is>
      </c>
      <c r="O324" t="inlineStr" s="0">
        <is>
          <t/>
        </is>
      </c>
    </row>
    <row r="325">
      <c r="A325" t="str" s="0">
        <f>IF(G325="","","ALT-26-"&amp;TEXT(ROW()-1,"000"))</f>
        <v/>
      </c>
      <c r="B325" t="inlineStr" s="0">
        <is>
          <t/>
        </is>
      </c>
      <c r="C325" t="inlineStr" s="0">
        <is>
          <t/>
        </is>
      </c>
      <c r="D325" t="inlineStr" s="0">
        <is>
          <t/>
        </is>
      </c>
      <c r="E325" t="inlineStr" s="0">
        <is>
          <t/>
        </is>
      </c>
      <c r="F325" t="str" s="0">
        <f>IF(E325="","",IFERROR(VLOOKUP(E325,Config!$F$2:$G$60,2,FALSE),"Gasto"))</f>
        <v/>
      </c>
      <c r="G325" s="2"/>
      <c r="H325" s="2">
        <f>IF(G325="","",IF(IFERROR(VLOOKUP(E325,Config!$F$2:$H$60,3,FALSE),"Exento")="Afecto",ROUND(G325-(G325/1.12),2),0))</f>
      </c>
      <c r="I325" s="2">
        <f>IF(G325="","",ROUND(G325-H325,2))</f>
      </c>
      <c r="J325" t="inlineStr" s="0">
        <is>
          <t/>
        </is>
      </c>
      <c r="K325" s="3">
        <f>IF(G325="","",ROUND(K324+IF(J325="BI-Ahorro",0,IF(F325="Gasto",-G325,G325)),2))</f>
      </c>
      <c r="L325" s="2">
        <f>IF(G325="","",ROUND(L324+IF(LEFT(E325,4)="2102",G325,IF(J325="BI-Ahorro",-G325,0)),2))</f>
      </c>
      <c r="M325" t="inlineStr" s="0">
        <is>
          <t/>
        </is>
      </c>
      <c r="N325" t="inlineStr" s="0">
        <is>
          <t/>
        </is>
      </c>
      <c r="O325" t="inlineStr" s="0">
        <is>
          <t/>
        </is>
      </c>
    </row>
    <row r="326">
      <c r="A326" t="str" s="0">
        <f>IF(G326="","","ALT-26-"&amp;TEXT(ROW()-1,"000"))</f>
        <v/>
      </c>
      <c r="B326" t="inlineStr" s="0">
        <is>
          <t/>
        </is>
      </c>
      <c r="C326" t="inlineStr" s="0">
        <is>
          <t/>
        </is>
      </c>
      <c r="D326" t="inlineStr" s="0">
        <is>
          <t/>
        </is>
      </c>
      <c r="E326" t="inlineStr" s="0">
        <is>
          <t/>
        </is>
      </c>
      <c r="F326" t="str" s="0">
        <f>IF(E326="","",IFERROR(VLOOKUP(E326,Config!$F$2:$G$60,2,FALSE),"Gasto"))</f>
        <v/>
      </c>
      <c r="G326" s="2"/>
      <c r="H326" s="2">
        <f>IF(G326="","",IF(IFERROR(VLOOKUP(E326,Config!$F$2:$H$60,3,FALSE),"Exento")="Afecto",ROUND(G326-(G326/1.12),2),0))</f>
      </c>
      <c r="I326" s="2">
        <f>IF(G326="","",ROUND(G326-H326,2))</f>
      </c>
      <c r="J326" t="inlineStr" s="0">
        <is>
          <t/>
        </is>
      </c>
      <c r="K326" s="3">
        <f>IF(G326="","",ROUND(K325+IF(J326="BI-Ahorro",0,IF(F326="Gasto",-G326,G326)),2))</f>
      </c>
      <c r="L326" s="2">
        <f>IF(G326="","",ROUND(L325+IF(LEFT(E326,4)="2102",G326,IF(J326="BI-Ahorro",-G326,0)),2))</f>
      </c>
      <c r="M326" t="inlineStr" s="0">
        <is>
          <t/>
        </is>
      </c>
      <c r="N326" t="inlineStr" s="0">
        <is>
          <t/>
        </is>
      </c>
      <c r="O326" t="inlineStr" s="0">
        <is>
          <t/>
        </is>
      </c>
    </row>
    <row r="327">
      <c r="A327" t="str" s="0">
        <f>IF(G327="","","ALT-26-"&amp;TEXT(ROW()-1,"000"))</f>
        <v/>
      </c>
      <c r="B327" t="inlineStr" s="0">
        <is>
          <t/>
        </is>
      </c>
      <c r="C327" t="inlineStr" s="0">
        <is>
          <t/>
        </is>
      </c>
      <c r="D327" t="inlineStr" s="0">
        <is>
          <t/>
        </is>
      </c>
      <c r="E327" t="inlineStr" s="0">
        <is>
          <t/>
        </is>
      </c>
      <c r="F327" t="str" s="0">
        <f>IF(E327="","",IFERROR(VLOOKUP(E327,Config!$F$2:$G$60,2,FALSE),"Gasto"))</f>
        <v/>
      </c>
      <c r="G327" s="2"/>
      <c r="H327" s="2">
        <f>IF(G327="","",IF(IFERROR(VLOOKUP(E327,Config!$F$2:$H$60,3,FALSE),"Exento")="Afecto",ROUND(G327-(G327/1.12),2),0))</f>
      </c>
      <c r="I327" s="2">
        <f>IF(G327="","",ROUND(G327-H327,2))</f>
      </c>
      <c r="J327" t="inlineStr" s="0">
        <is>
          <t/>
        </is>
      </c>
      <c r="K327" s="3">
        <f>IF(G327="","",ROUND(K326+IF(J327="BI-Ahorro",0,IF(F327="Gasto",-G327,G327)),2))</f>
      </c>
      <c r="L327" s="2">
        <f>IF(G327="","",ROUND(L326+IF(LEFT(E327,4)="2102",G327,IF(J327="BI-Ahorro",-G327,0)),2))</f>
      </c>
      <c r="M327" t="inlineStr" s="0">
        <is>
          <t/>
        </is>
      </c>
      <c r="N327" t="inlineStr" s="0">
        <is>
          <t/>
        </is>
      </c>
      <c r="O327" t="inlineStr" s="0">
        <is>
          <t/>
        </is>
      </c>
    </row>
    <row r="328">
      <c r="A328" t="str" s="0">
        <f>IF(G328="","","ALT-26-"&amp;TEXT(ROW()-1,"000"))</f>
        <v/>
      </c>
      <c r="B328" t="inlineStr" s="0">
        <is>
          <t/>
        </is>
      </c>
      <c r="C328" t="inlineStr" s="0">
        <is>
          <t/>
        </is>
      </c>
      <c r="D328" t="inlineStr" s="0">
        <is>
          <t/>
        </is>
      </c>
      <c r="E328" t="inlineStr" s="0">
        <is>
          <t/>
        </is>
      </c>
      <c r="F328" t="str" s="0">
        <f>IF(E328="","",IFERROR(VLOOKUP(E328,Config!$F$2:$G$60,2,FALSE),"Gasto"))</f>
        <v/>
      </c>
      <c r="G328" s="2"/>
      <c r="H328" s="2">
        <f>IF(G328="","",IF(IFERROR(VLOOKUP(E328,Config!$F$2:$H$60,3,FALSE),"Exento")="Afecto",ROUND(G328-(G328/1.12),2),0))</f>
      </c>
      <c r="I328" s="2">
        <f>IF(G328="","",ROUND(G328-H328,2))</f>
      </c>
      <c r="J328" t="inlineStr" s="0">
        <is>
          <t/>
        </is>
      </c>
      <c r="K328" s="3">
        <f>IF(G328="","",ROUND(K327+IF(J328="BI-Ahorro",0,IF(F328="Gasto",-G328,G328)),2))</f>
      </c>
      <c r="L328" s="2">
        <f>IF(G328="","",ROUND(L327+IF(LEFT(E328,4)="2102",G328,IF(J328="BI-Ahorro",-G328,0)),2))</f>
      </c>
      <c r="M328" t="inlineStr" s="0">
        <is>
          <t/>
        </is>
      </c>
      <c r="N328" t="inlineStr" s="0">
        <is>
          <t/>
        </is>
      </c>
      <c r="O328" t="inlineStr" s="0">
        <is>
          <t/>
        </is>
      </c>
    </row>
    <row r="329">
      <c r="A329" t="str" s="0">
        <f>IF(G329="","","ALT-26-"&amp;TEXT(ROW()-1,"000"))</f>
        <v/>
      </c>
      <c r="B329" t="inlineStr" s="0">
        <is>
          <t/>
        </is>
      </c>
      <c r="C329" t="inlineStr" s="0">
        <is>
          <t/>
        </is>
      </c>
      <c r="D329" t="inlineStr" s="0">
        <is>
          <t/>
        </is>
      </c>
      <c r="E329" t="inlineStr" s="0">
        <is>
          <t/>
        </is>
      </c>
      <c r="F329" t="str" s="0">
        <f>IF(E329="","",IFERROR(VLOOKUP(E329,Config!$F$2:$G$60,2,FALSE),"Gasto"))</f>
        <v/>
      </c>
      <c r="G329" s="2"/>
      <c r="H329" s="2">
        <f>IF(G329="","",IF(IFERROR(VLOOKUP(E329,Config!$F$2:$H$60,3,FALSE),"Exento")="Afecto",ROUND(G329-(G329/1.12),2),0))</f>
      </c>
      <c r="I329" s="2">
        <f>IF(G329="","",ROUND(G329-H329,2))</f>
      </c>
      <c r="J329" t="inlineStr" s="0">
        <is>
          <t/>
        </is>
      </c>
      <c r="K329" s="3">
        <f>IF(G329="","",ROUND(K328+IF(J329="BI-Ahorro",0,IF(F329="Gasto",-G329,G329)),2))</f>
      </c>
      <c r="L329" s="2">
        <f>IF(G329="","",ROUND(L328+IF(LEFT(E329,4)="2102",G329,IF(J329="BI-Ahorro",-G329,0)),2))</f>
      </c>
      <c r="M329" t="inlineStr" s="0">
        <is>
          <t/>
        </is>
      </c>
      <c r="N329" t="inlineStr" s="0">
        <is>
          <t/>
        </is>
      </c>
      <c r="O329" t="inlineStr" s="0">
        <is>
          <t/>
        </is>
      </c>
    </row>
    <row r="330">
      <c r="A330" t="str" s="0">
        <f>IF(G330="","","ALT-26-"&amp;TEXT(ROW()-1,"000"))</f>
        <v/>
      </c>
      <c r="B330" t="inlineStr" s="0">
        <is>
          <t/>
        </is>
      </c>
      <c r="C330" t="inlineStr" s="0">
        <is>
          <t/>
        </is>
      </c>
      <c r="D330" t="inlineStr" s="0">
        <is>
          <t/>
        </is>
      </c>
      <c r="E330" t="inlineStr" s="0">
        <is>
          <t/>
        </is>
      </c>
      <c r="F330" t="str" s="0">
        <f>IF(E330="","",IFERROR(VLOOKUP(E330,Config!$F$2:$G$60,2,FALSE),"Gasto"))</f>
        <v/>
      </c>
      <c r="G330" s="2"/>
      <c r="H330" s="2">
        <f>IF(G330="","",IF(IFERROR(VLOOKUP(E330,Config!$F$2:$H$60,3,FALSE),"Exento")="Afecto",ROUND(G330-(G330/1.12),2),0))</f>
      </c>
      <c r="I330" s="2">
        <f>IF(G330="","",ROUND(G330-H330,2))</f>
      </c>
      <c r="J330" t="inlineStr" s="0">
        <is>
          <t/>
        </is>
      </c>
      <c r="K330" s="3">
        <f>IF(G330="","",ROUND(K329+IF(J330="BI-Ahorro",0,IF(F330="Gasto",-G330,G330)),2))</f>
      </c>
      <c r="L330" s="2">
        <f>IF(G330="","",ROUND(L329+IF(LEFT(E330,4)="2102",G330,IF(J330="BI-Ahorro",-G330,0)),2))</f>
      </c>
      <c r="M330" t="inlineStr" s="0">
        <is>
          <t/>
        </is>
      </c>
      <c r="N330" t="inlineStr" s="0">
        <is>
          <t/>
        </is>
      </c>
      <c r="O330" t="inlineStr" s="0">
        <is>
          <t/>
        </is>
      </c>
    </row>
    <row r="331">
      <c r="A331" t="str" s="0">
        <f>IF(G331="","","ALT-26-"&amp;TEXT(ROW()-1,"000"))</f>
        <v/>
      </c>
      <c r="B331" t="inlineStr" s="0">
        <is>
          <t/>
        </is>
      </c>
      <c r="C331" t="inlineStr" s="0">
        <is>
          <t/>
        </is>
      </c>
      <c r="D331" t="inlineStr" s="0">
        <is>
          <t/>
        </is>
      </c>
      <c r="E331" t="inlineStr" s="0">
        <is>
          <t/>
        </is>
      </c>
      <c r="F331" t="str" s="0">
        <f>IF(E331="","",IFERROR(VLOOKUP(E331,Config!$F$2:$G$60,2,FALSE),"Gasto"))</f>
        <v/>
      </c>
      <c r="G331" s="2"/>
      <c r="H331" s="2">
        <f>IF(G331="","",IF(IFERROR(VLOOKUP(E331,Config!$F$2:$H$60,3,FALSE),"Exento")="Afecto",ROUND(G331-(G331/1.12),2),0))</f>
      </c>
      <c r="I331" s="2">
        <f>IF(G331="","",ROUND(G331-H331,2))</f>
      </c>
      <c r="J331" t="inlineStr" s="0">
        <is>
          <t/>
        </is>
      </c>
      <c r="K331" s="3">
        <f>IF(G331="","",ROUND(K330+IF(J331="BI-Ahorro",0,IF(F331="Gasto",-G331,G331)),2))</f>
      </c>
      <c r="L331" s="2">
        <f>IF(G331="","",ROUND(L330+IF(LEFT(E331,4)="2102",G331,IF(J331="BI-Ahorro",-G331,0)),2))</f>
      </c>
      <c r="M331" t="inlineStr" s="0">
        <is>
          <t/>
        </is>
      </c>
      <c r="N331" t="inlineStr" s="0">
        <is>
          <t/>
        </is>
      </c>
      <c r="O331" t="inlineStr" s="0">
        <is>
          <t/>
        </is>
      </c>
    </row>
    <row r="332">
      <c r="A332" t="str" s="0">
        <f>IF(G332="","","ALT-26-"&amp;TEXT(ROW()-1,"000"))</f>
        <v/>
      </c>
      <c r="B332" t="inlineStr" s="0">
        <is>
          <t/>
        </is>
      </c>
      <c r="C332" t="inlineStr" s="0">
        <is>
          <t/>
        </is>
      </c>
      <c r="D332" t="inlineStr" s="0">
        <is>
          <t/>
        </is>
      </c>
      <c r="E332" t="inlineStr" s="0">
        <is>
          <t/>
        </is>
      </c>
      <c r="F332" t="str" s="0">
        <f>IF(E332="","",IFERROR(VLOOKUP(E332,Config!$F$2:$G$60,2,FALSE),"Gasto"))</f>
        <v/>
      </c>
      <c r="G332" s="2"/>
      <c r="H332" s="2">
        <f>IF(G332="","",IF(IFERROR(VLOOKUP(E332,Config!$F$2:$H$60,3,FALSE),"Exento")="Afecto",ROUND(G332-(G332/1.12),2),0))</f>
      </c>
      <c r="I332" s="2">
        <f>IF(G332="","",ROUND(G332-H332,2))</f>
      </c>
      <c r="J332" t="inlineStr" s="0">
        <is>
          <t/>
        </is>
      </c>
      <c r="K332" s="3">
        <f>IF(G332="","",ROUND(K331+IF(J332="BI-Ahorro",0,IF(F332="Gasto",-G332,G332)),2))</f>
      </c>
      <c r="L332" s="2">
        <f>IF(G332="","",ROUND(L331+IF(LEFT(E332,4)="2102",G332,IF(J332="BI-Ahorro",-G332,0)),2))</f>
      </c>
      <c r="M332" t="inlineStr" s="0">
        <is>
          <t/>
        </is>
      </c>
      <c r="N332" t="inlineStr" s="0">
        <is>
          <t/>
        </is>
      </c>
      <c r="O332" t="inlineStr" s="0">
        <is>
          <t/>
        </is>
      </c>
    </row>
    <row r="333">
      <c r="A333" t="str" s="0">
        <f>IF(G333="","","ALT-26-"&amp;TEXT(ROW()-1,"000"))</f>
        <v/>
      </c>
      <c r="B333" t="inlineStr" s="0">
        <is>
          <t/>
        </is>
      </c>
      <c r="C333" t="inlineStr" s="0">
        <is>
          <t/>
        </is>
      </c>
      <c r="D333" t="inlineStr" s="0">
        <is>
          <t/>
        </is>
      </c>
      <c r="E333" t="inlineStr" s="0">
        <is>
          <t/>
        </is>
      </c>
      <c r="F333" t="str" s="0">
        <f>IF(E333="","",IFERROR(VLOOKUP(E333,Config!$F$2:$G$60,2,FALSE),"Gasto"))</f>
        <v/>
      </c>
      <c r="G333" s="2"/>
      <c r="H333" s="2">
        <f>IF(G333="","",IF(IFERROR(VLOOKUP(E333,Config!$F$2:$H$60,3,FALSE),"Exento")="Afecto",ROUND(G333-(G333/1.12),2),0))</f>
      </c>
      <c r="I333" s="2">
        <f>IF(G333="","",ROUND(G333-H333,2))</f>
      </c>
      <c r="J333" t="inlineStr" s="0">
        <is>
          <t/>
        </is>
      </c>
      <c r="K333" s="3">
        <f>IF(G333="","",ROUND(K332+IF(J333="BI-Ahorro",0,IF(F333="Gasto",-G333,G333)),2))</f>
      </c>
      <c r="L333" s="2">
        <f>IF(G333="","",ROUND(L332+IF(LEFT(E333,4)="2102",G333,IF(J333="BI-Ahorro",-G333,0)),2))</f>
      </c>
      <c r="M333" t="inlineStr" s="0">
        <is>
          <t/>
        </is>
      </c>
      <c r="N333" t="inlineStr" s="0">
        <is>
          <t/>
        </is>
      </c>
      <c r="O333" t="inlineStr" s="0">
        <is>
          <t/>
        </is>
      </c>
    </row>
    <row r="334">
      <c r="A334" t="str" s="0">
        <f>IF(G334="","","ALT-26-"&amp;TEXT(ROW()-1,"000"))</f>
        <v/>
      </c>
      <c r="B334" t="inlineStr" s="0">
        <is>
          <t/>
        </is>
      </c>
      <c r="C334" t="inlineStr" s="0">
        <is>
          <t/>
        </is>
      </c>
      <c r="D334" t="inlineStr" s="0">
        <is>
          <t/>
        </is>
      </c>
      <c r="E334" t="inlineStr" s="0">
        <is>
          <t/>
        </is>
      </c>
      <c r="F334" t="str" s="0">
        <f>IF(E334="","",IFERROR(VLOOKUP(E334,Config!$F$2:$G$60,2,FALSE),"Gasto"))</f>
        <v/>
      </c>
      <c r="G334" s="2"/>
      <c r="H334" s="2">
        <f>IF(G334="","",IF(IFERROR(VLOOKUP(E334,Config!$F$2:$H$60,3,FALSE),"Exento")="Afecto",ROUND(G334-(G334/1.12),2),0))</f>
      </c>
      <c r="I334" s="2">
        <f>IF(G334="","",ROUND(G334-H334,2))</f>
      </c>
      <c r="J334" t="inlineStr" s="0">
        <is>
          <t/>
        </is>
      </c>
      <c r="K334" s="3">
        <f>IF(G334="","",ROUND(K333+IF(J334="BI-Ahorro",0,IF(F334="Gasto",-G334,G334)),2))</f>
      </c>
      <c r="L334" s="2">
        <f>IF(G334="","",ROUND(L333+IF(LEFT(E334,4)="2102",G334,IF(J334="BI-Ahorro",-G334,0)),2))</f>
      </c>
      <c r="M334" t="inlineStr" s="0">
        <is>
          <t/>
        </is>
      </c>
      <c r="N334" t="inlineStr" s="0">
        <is>
          <t/>
        </is>
      </c>
      <c r="O334" t="inlineStr" s="0">
        <is>
          <t/>
        </is>
      </c>
    </row>
    <row r="335">
      <c r="A335" t="str" s="0">
        <f>IF(G335="","","ALT-26-"&amp;TEXT(ROW()-1,"000"))</f>
        <v/>
      </c>
      <c r="B335" t="inlineStr" s="0">
        <is>
          <t/>
        </is>
      </c>
      <c r="C335" t="inlineStr" s="0">
        <is>
          <t/>
        </is>
      </c>
      <c r="D335" t="inlineStr" s="0">
        <is>
          <t/>
        </is>
      </c>
      <c r="E335" t="inlineStr" s="0">
        <is>
          <t/>
        </is>
      </c>
      <c r="F335" t="str" s="0">
        <f>IF(E335="","",IFERROR(VLOOKUP(E335,Config!$F$2:$G$60,2,FALSE),"Gasto"))</f>
        <v/>
      </c>
      <c r="G335" s="2"/>
      <c r="H335" s="2">
        <f>IF(G335="","",IF(IFERROR(VLOOKUP(E335,Config!$F$2:$H$60,3,FALSE),"Exento")="Afecto",ROUND(G335-(G335/1.12),2),0))</f>
      </c>
      <c r="I335" s="2">
        <f>IF(G335="","",ROUND(G335-H335,2))</f>
      </c>
      <c r="J335" t="inlineStr" s="0">
        <is>
          <t/>
        </is>
      </c>
      <c r="K335" s="3">
        <f>IF(G335="","",ROUND(K334+IF(J335="BI-Ahorro",0,IF(F335="Gasto",-G335,G335)),2))</f>
      </c>
      <c r="L335" s="2">
        <f>IF(G335="","",ROUND(L334+IF(LEFT(E335,4)="2102",G335,IF(J335="BI-Ahorro",-G335,0)),2))</f>
      </c>
      <c r="M335" t="inlineStr" s="0">
        <is>
          <t/>
        </is>
      </c>
      <c r="N335" t="inlineStr" s="0">
        <is>
          <t/>
        </is>
      </c>
      <c r="O335" t="inlineStr" s="0">
        <is>
          <t/>
        </is>
      </c>
    </row>
    <row r="336">
      <c r="A336" t="str" s="0">
        <f>IF(G336="","","ALT-26-"&amp;TEXT(ROW()-1,"000"))</f>
        <v/>
      </c>
      <c r="B336" t="inlineStr" s="0">
        <is>
          <t/>
        </is>
      </c>
      <c r="C336" t="inlineStr" s="0">
        <is>
          <t/>
        </is>
      </c>
      <c r="D336" t="inlineStr" s="0">
        <is>
          <t/>
        </is>
      </c>
      <c r="E336" t="inlineStr" s="0">
        <is>
          <t/>
        </is>
      </c>
      <c r="F336" t="str" s="0">
        <f>IF(E336="","",IFERROR(VLOOKUP(E336,Config!$F$2:$G$60,2,FALSE),"Gasto"))</f>
        <v/>
      </c>
      <c r="G336" s="2"/>
      <c r="H336" s="2">
        <f>IF(G336="","",IF(IFERROR(VLOOKUP(E336,Config!$F$2:$H$60,3,FALSE),"Exento")="Afecto",ROUND(G336-(G336/1.12),2),0))</f>
      </c>
      <c r="I336" s="2">
        <f>IF(G336="","",ROUND(G336-H336,2))</f>
      </c>
      <c r="J336" t="inlineStr" s="0">
        <is>
          <t/>
        </is>
      </c>
      <c r="K336" s="3">
        <f>IF(G336="","",ROUND(K335+IF(J336="BI-Ahorro",0,IF(F336="Gasto",-G336,G336)),2))</f>
      </c>
      <c r="L336" s="2">
        <f>IF(G336="","",ROUND(L335+IF(LEFT(E336,4)="2102",G336,IF(J336="BI-Ahorro",-G336,0)),2))</f>
      </c>
      <c r="M336" t="inlineStr" s="0">
        <is>
          <t/>
        </is>
      </c>
      <c r="N336" t="inlineStr" s="0">
        <is>
          <t/>
        </is>
      </c>
      <c r="O336" t="inlineStr" s="0">
        <is>
          <t/>
        </is>
      </c>
    </row>
    <row r="337">
      <c r="A337" t="str" s="0">
        <f>IF(G337="","","ALT-26-"&amp;TEXT(ROW()-1,"000"))</f>
        <v/>
      </c>
      <c r="B337" t="inlineStr" s="0">
        <is>
          <t/>
        </is>
      </c>
      <c r="C337" t="inlineStr" s="0">
        <is>
          <t/>
        </is>
      </c>
      <c r="D337" t="inlineStr" s="0">
        <is>
          <t/>
        </is>
      </c>
      <c r="E337" t="inlineStr" s="0">
        <is>
          <t/>
        </is>
      </c>
      <c r="F337" t="str" s="0">
        <f>IF(E337="","",IFERROR(VLOOKUP(E337,Config!$F$2:$G$60,2,FALSE),"Gasto"))</f>
        <v/>
      </c>
      <c r="G337" s="2"/>
      <c r="H337" s="2">
        <f>IF(G337="","",IF(IFERROR(VLOOKUP(E337,Config!$F$2:$H$60,3,FALSE),"Exento")="Afecto",ROUND(G337-(G337/1.12),2),0))</f>
      </c>
      <c r="I337" s="2">
        <f>IF(G337="","",ROUND(G337-H337,2))</f>
      </c>
      <c r="J337" t="inlineStr" s="0">
        <is>
          <t/>
        </is>
      </c>
      <c r="K337" s="3">
        <f>IF(G337="","",ROUND(K336+IF(J337="BI-Ahorro",0,IF(F337="Gasto",-G337,G337)),2))</f>
      </c>
      <c r="L337" s="2">
        <f>IF(G337="","",ROUND(L336+IF(LEFT(E337,4)="2102",G337,IF(J337="BI-Ahorro",-G337,0)),2))</f>
      </c>
      <c r="M337" t="inlineStr" s="0">
        <is>
          <t/>
        </is>
      </c>
      <c r="N337" t="inlineStr" s="0">
        <is>
          <t/>
        </is>
      </c>
      <c r="O337" t="inlineStr" s="0">
        <is>
          <t/>
        </is>
      </c>
    </row>
    <row r="338">
      <c r="A338" t="str" s="0">
        <f>IF(G338="","","ALT-26-"&amp;TEXT(ROW()-1,"000"))</f>
        <v/>
      </c>
      <c r="B338" t="inlineStr" s="0">
        <is>
          <t/>
        </is>
      </c>
      <c r="C338" t="inlineStr" s="0">
        <is>
          <t/>
        </is>
      </c>
      <c r="D338" t="inlineStr" s="0">
        <is>
          <t/>
        </is>
      </c>
      <c r="E338" t="inlineStr" s="0">
        <is>
          <t/>
        </is>
      </c>
      <c r="F338" t="str" s="0">
        <f>IF(E338="","",IFERROR(VLOOKUP(E338,Config!$F$2:$G$60,2,FALSE),"Gasto"))</f>
        <v/>
      </c>
      <c r="G338" s="2"/>
      <c r="H338" s="2">
        <f>IF(G338="","",IF(IFERROR(VLOOKUP(E338,Config!$F$2:$H$60,3,FALSE),"Exento")="Afecto",ROUND(G338-(G338/1.12),2),0))</f>
      </c>
      <c r="I338" s="2">
        <f>IF(G338="","",ROUND(G338-H338,2))</f>
      </c>
      <c r="J338" t="inlineStr" s="0">
        <is>
          <t/>
        </is>
      </c>
      <c r="K338" s="3">
        <f>IF(G338="","",ROUND(K337+IF(J338="BI-Ahorro",0,IF(F338="Gasto",-G338,G338)),2))</f>
      </c>
      <c r="L338" s="2">
        <f>IF(G338="","",ROUND(L337+IF(LEFT(E338,4)="2102",G338,IF(J338="BI-Ahorro",-G338,0)),2))</f>
      </c>
      <c r="M338" t="inlineStr" s="0">
        <is>
          <t/>
        </is>
      </c>
      <c r="N338" t="inlineStr" s="0">
        <is>
          <t/>
        </is>
      </c>
      <c r="O338" t="inlineStr" s="0">
        <is>
          <t/>
        </is>
      </c>
    </row>
    <row r="339">
      <c r="A339" t="str" s="0">
        <f>IF(G339="","","ALT-26-"&amp;TEXT(ROW()-1,"000"))</f>
        <v/>
      </c>
      <c r="B339" t="inlineStr" s="0">
        <is>
          <t/>
        </is>
      </c>
      <c r="C339" t="inlineStr" s="0">
        <is>
          <t/>
        </is>
      </c>
      <c r="D339" t="inlineStr" s="0">
        <is>
          <t/>
        </is>
      </c>
      <c r="E339" t="inlineStr" s="0">
        <is>
          <t/>
        </is>
      </c>
      <c r="F339" t="str" s="0">
        <f>IF(E339="","",IFERROR(VLOOKUP(E339,Config!$F$2:$G$60,2,FALSE),"Gasto"))</f>
        <v/>
      </c>
      <c r="G339" s="2"/>
      <c r="H339" s="2">
        <f>IF(G339="","",IF(IFERROR(VLOOKUP(E339,Config!$F$2:$H$60,3,FALSE),"Exento")="Afecto",ROUND(G339-(G339/1.12),2),0))</f>
      </c>
      <c r="I339" s="2">
        <f>IF(G339="","",ROUND(G339-H339,2))</f>
      </c>
      <c r="J339" t="inlineStr" s="0">
        <is>
          <t/>
        </is>
      </c>
      <c r="K339" s="3">
        <f>IF(G339="","",ROUND(K338+IF(J339="BI-Ahorro",0,IF(F339="Gasto",-G339,G339)),2))</f>
      </c>
      <c r="L339" s="2">
        <f>IF(G339="","",ROUND(L338+IF(LEFT(E339,4)="2102",G339,IF(J339="BI-Ahorro",-G339,0)),2))</f>
      </c>
      <c r="M339" t="inlineStr" s="0">
        <is>
          <t/>
        </is>
      </c>
      <c r="N339" t="inlineStr" s="0">
        <is>
          <t/>
        </is>
      </c>
      <c r="O339" t="inlineStr" s="0">
        <is>
          <t/>
        </is>
      </c>
    </row>
    <row r="340">
      <c r="A340" t="str" s="0">
        <f>IF(G340="","","ALT-26-"&amp;TEXT(ROW()-1,"000"))</f>
        <v/>
      </c>
      <c r="B340" t="inlineStr" s="0">
        <is>
          <t/>
        </is>
      </c>
      <c r="C340" t="inlineStr" s="0">
        <is>
          <t/>
        </is>
      </c>
      <c r="D340" t="inlineStr" s="0">
        <is>
          <t/>
        </is>
      </c>
      <c r="E340" t="inlineStr" s="0">
        <is>
          <t/>
        </is>
      </c>
      <c r="F340" t="str" s="0">
        <f>IF(E340="","",IFERROR(VLOOKUP(E340,Config!$F$2:$G$60,2,FALSE),"Gasto"))</f>
        <v/>
      </c>
      <c r="G340" s="2"/>
      <c r="H340" s="2">
        <f>IF(G340="","",IF(IFERROR(VLOOKUP(E340,Config!$F$2:$H$60,3,FALSE),"Exento")="Afecto",ROUND(G340-(G340/1.12),2),0))</f>
      </c>
      <c r="I340" s="2">
        <f>IF(G340="","",ROUND(G340-H340,2))</f>
      </c>
      <c r="J340" t="inlineStr" s="0">
        <is>
          <t/>
        </is>
      </c>
      <c r="K340" s="3">
        <f>IF(G340="","",ROUND(K339+IF(J340="BI-Ahorro",0,IF(F340="Gasto",-G340,G340)),2))</f>
      </c>
      <c r="L340" s="2">
        <f>IF(G340="","",ROUND(L339+IF(LEFT(E340,4)="2102",G340,IF(J340="BI-Ahorro",-G340,0)),2))</f>
      </c>
      <c r="M340" t="inlineStr" s="0">
        <is>
          <t/>
        </is>
      </c>
      <c r="N340" t="inlineStr" s="0">
        <is>
          <t/>
        </is>
      </c>
      <c r="O340" t="inlineStr" s="0">
        <is>
          <t/>
        </is>
      </c>
    </row>
    <row r="341">
      <c r="A341" t="str" s="0">
        <f>IF(G341="","","ALT-26-"&amp;TEXT(ROW()-1,"000"))</f>
        <v/>
      </c>
      <c r="B341" t="inlineStr" s="0">
        <is>
          <t/>
        </is>
      </c>
      <c r="C341" t="inlineStr" s="0">
        <is>
          <t/>
        </is>
      </c>
      <c r="D341" t="inlineStr" s="0">
        <is>
          <t/>
        </is>
      </c>
      <c r="E341" t="inlineStr" s="0">
        <is>
          <t/>
        </is>
      </c>
      <c r="F341" t="str" s="0">
        <f>IF(E341="","",IFERROR(VLOOKUP(E341,Config!$F$2:$G$60,2,FALSE),"Gasto"))</f>
        <v/>
      </c>
      <c r="G341" s="2"/>
      <c r="H341" s="2">
        <f>IF(G341="","",IF(IFERROR(VLOOKUP(E341,Config!$F$2:$H$60,3,FALSE),"Exento")="Afecto",ROUND(G341-(G341/1.12),2),0))</f>
      </c>
      <c r="I341" s="2">
        <f>IF(G341="","",ROUND(G341-H341,2))</f>
      </c>
      <c r="J341" t="inlineStr" s="0">
        <is>
          <t/>
        </is>
      </c>
      <c r="K341" s="3">
        <f>IF(G341="","",ROUND(K340+IF(J341="BI-Ahorro",0,IF(F341="Gasto",-G341,G341)),2))</f>
      </c>
      <c r="L341" s="2">
        <f>IF(G341="","",ROUND(L340+IF(LEFT(E341,4)="2102",G341,IF(J341="BI-Ahorro",-G341,0)),2))</f>
      </c>
      <c r="M341" t="inlineStr" s="0">
        <is>
          <t/>
        </is>
      </c>
      <c r="N341" t="inlineStr" s="0">
        <is>
          <t/>
        </is>
      </c>
      <c r="O341" t="inlineStr" s="0">
        <is>
          <t/>
        </is>
      </c>
    </row>
    <row r="342">
      <c r="A342" t="str" s="0">
        <f>IF(G342="","","ALT-26-"&amp;TEXT(ROW()-1,"000"))</f>
        <v/>
      </c>
      <c r="B342" t="inlineStr" s="0">
        <is>
          <t/>
        </is>
      </c>
      <c r="C342" t="inlineStr" s="0">
        <is>
          <t/>
        </is>
      </c>
      <c r="D342" t="inlineStr" s="0">
        <is>
          <t/>
        </is>
      </c>
      <c r="E342" t="inlineStr" s="0">
        <is>
          <t/>
        </is>
      </c>
      <c r="F342" t="str" s="0">
        <f>IF(E342="","",IFERROR(VLOOKUP(E342,Config!$F$2:$G$60,2,FALSE),"Gasto"))</f>
        <v/>
      </c>
      <c r="G342" s="2"/>
      <c r="H342" s="2">
        <f>IF(G342="","",IF(IFERROR(VLOOKUP(E342,Config!$F$2:$H$60,3,FALSE),"Exento")="Afecto",ROUND(G342-(G342/1.12),2),0))</f>
      </c>
      <c r="I342" s="2">
        <f>IF(G342="","",ROUND(G342-H342,2))</f>
      </c>
      <c r="J342" t="inlineStr" s="0">
        <is>
          <t/>
        </is>
      </c>
      <c r="K342" s="3">
        <f>IF(G342="","",ROUND(K341+IF(J342="BI-Ahorro",0,IF(F342="Gasto",-G342,G342)),2))</f>
      </c>
      <c r="L342" s="2">
        <f>IF(G342="","",ROUND(L341+IF(LEFT(E342,4)="2102",G342,IF(J342="BI-Ahorro",-G342,0)),2))</f>
      </c>
      <c r="M342" t="inlineStr" s="0">
        <is>
          <t/>
        </is>
      </c>
      <c r="N342" t="inlineStr" s="0">
        <is>
          <t/>
        </is>
      </c>
      <c r="O342" t="inlineStr" s="0">
        <is>
          <t/>
        </is>
      </c>
    </row>
    <row r="343">
      <c r="A343" t="str" s="0">
        <f>IF(G343="","","ALT-26-"&amp;TEXT(ROW()-1,"000"))</f>
        <v/>
      </c>
      <c r="B343" t="inlineStr" s="0">
        <is>
          <t/>
        </is>
      </c>
      <c r="C343" t="inlineStr" s="0">
        <is>
          <t/>
        </is>
      </c>
      <c r="D343" t="inlineStr" s="0">
        <is>
          <t/>
        </is>
      </c>
      <c r="E343" t="inlineStr" s="0">
        <is>
          <t/>
        </is>
      </c>
      <c r="F343" t="str" s="0">
        <f>IF(E343="","",IFERROR(VLOOKUP(E343,Config!$F$2:$G$60,2,FALSE),"Gasto"))</f>
        <v/>
      </c>
      <c r="G343" s="2"/>
      <c r="H343" s="2">
        <f>IF(G343="","",IF(IFERROR(VLOOKUP(E343,Config!$F$2:$H$60,3,FALSE),"Exento")="Afecto",ROUND(G343-(G343/1.12),2),0))</f>
      </c>
      <c r="I343" s="2">
        <f>IF(G343="","",ROUND(G343-H343,2))</f>
      </c>
      <c r="J343" t="inlineStr" s="0">
        <is>
          <t/>
        </is>
      </c>
      <c r="K343" s="3">
        <f>IF(G343="","",ROUND(K342+IF(J343="BI-Ahorro",0,IF(F343="Gasto",-G343,G343)),2))</f>
      </c>
      <c r="L343" s="2">
        <f>IF(G343="","",ROUND(L342+IF(LEFT(E343,4)="2102",G343,IF(J343="BI-Ahorro",-G343,0)),2))</f>
      </c>
      <c r="M343" t="inlineStr" s="0">
        <is>
          <t/>
        </is>
      </c>
      <c r="N343" t="inlineStr" s="0">
        <is>
          <t/>
        </is>
      </c>
      <c r="O343" t="inlineStr" s="0">
        <is>
          <t/>
        </is>
      </c>
    </row>
    <row r="344">
      <c r="A344" t="str" s="0">
        <f>IF(G344="","","ALT-26-"&amp;TEXT(ROW()-1,"000"))</f>
        <v/>
      </c>
      <c r="B344" t="inlineStr" s="0">
        <is>
          <t/>
        </is>
      </c>
      <c r="C344" t="inlineStr" s="0">
        <is>
          <t/>
        </is>
      </c>
      <c r="D344" t="inlineStr" s="0">
        <is>
          <t/>
        </is>
      </c>
      <c r="E344" t="inlineStr" s="0">
        <is>
          <t/>
        </is>
      </c>
      <c r="F344" t="str" s="0">
        <f>IF(E344="","",IFERROR(VLOOKUP(E344,Config!$F$2:$G$60,2,FALSE),"Gasto"))</f>
        <v/>
      </c>
      <c r="G344" s="2"/>
      <c r="H344" s="2">
        <f>IF(G344="","",IF(IFERROR(VLOOKUP(E344,Config!$F$2:$H$60,3,FALSE),"Exento")="Afecto",ROUND(G344-(G344/1.12),2),0))</f>
      </c>
      <c r="I344" s="2">
        <f>IF(G344="","",ROUND(G344-H344,2))</f>
      </c>
      <c r="J344" t="inlineStr" s="0">
        <is>
          <t/>
        </is>
      </c>
      <c r="K344" s="3">
        <f>IF(G344="","",ROUND(K343+IF(J344="BI-Ahorro",0,IF(F344="Gasto",-G344,G344)),2))</f>
      </c>
      <c r="L344" s="2">
        <f>IF(G344="","",ROUND(L343+IF(LEFT(E344,4)="2102",G344,IF(J344="BI-Ahorro",-G344,0)),2))</f>
      </c>
      <c r="M344" t="inlineStr" s="0">
        <is>
          <t/>
        </is>
      </c>
      <c r="N344" t="inlineStr" s="0">
        <is>
          <t/>
        </is>
      </c>
      <c r="O344" t="inlineStr" s="0">
        <is>
          <t/>
        </is>
      </c>
    </row>
    <row r="345">
      <c r="A345" t="str" s="0">
        <f>IF(G345="","","ALT-26-"&amp;TEXT(ROW()-1,"000"))</f>
        <v/>
      </c>
      <c r="B345" t="inlineStr" s="0">
        <is>
          <t/>
        </is>
      </c>
      <c r="C345" t="inlineStr" s="0">
        <is>
          <t/>
        </is>
      </c>
      <c r="D345" t="inlineStr" s="0">
        <is>
          <t/>
        </is>
      </c>
      <c r="E345" t="inlineStr" s="0">
        <is>
          <t/>
        </is>
      </c>
      <c r="F345" t="str" s="0">
        <f>IF(E345="","",IFERROR(VLOOKUP(E345,Config!$F$2:$G$60,2,FALSE),"Gasto"))</f>
        <v/>
      </c>
      <c r="G345" s="2"/>
      <c r="H345" s="2">
        <f>IF(G345="","",IF(IFERROR(VLOOKUP(E345,Config!$F$2:$H$60,3,FALSE),"Exento")="Afecto",ROUND(G345-(G345/1.12),2),0))</f>
      </c>
      <c r="I345" s="2">
        <f>IF(G345="","",ROUND(G345-H345,2))</f>
      </c>
      <c r="J345" t="inlineStr" s="0">
        <is>
          <t/>
        </is>
      </c>
      <c r="K345" s="3">
        <f>IF(G345="","",ROUND(K344+IF(J345="BI-Ahorro",0,IF(F345="Gasto",-G345,G345)),2))</f>
      </c>
      <c r="L345" s="2">
        <f>IF(G345="","",ROUND(L344+IF(LEFT(E345,4)="2102",G345,IF(J345="BI-Ahorro",-G345,0)),2))</f>
      </c>
      <c r="M345" t="inlineStr" s="0">
        <is>
          <t/>
        </is>
      </c>
      <c r="N345" t="inlineStr" s="0">
        <is>
          <t/>
        </is>
      </c>
      <c r="O345" t="inlineStr" s="0">
        <is>
          <t/>
        </is>
      </c>
    </row>
    <row r="346">
      <c r="A346" t="str" s="0">
        <f>IF(G346="","","ALT-26-"&amp;TEXT(ROW()-1,"000"))</f>
        <v/>
      </c>
      <c r="B346" t="inlineStr" s="0">
        <is>
          <t/>
        </is>
      </c>
      <c r="C346" t="inlineStr" s="0">
        <is>
          <t/>
        </is>
      </c>
      <c r="D346" t="inlineStr" s="0">
        <is>
          <t/>
        </is>
      </c>
      <c r="E346" t="inlineStr" s="0">
        <is>
          <t/>
        </is>
      </c>
      <c r="F346" t="str" s="0">
        <f>IF(E346="","",IFERROR(VLOOKUP(E346,Config!$F$2:$G$60,2,FALSE),"Gasto"))</f>
        <v/>
      </c>
      <c r="G346" s="2"/>
      <c r="H346" s="2">
        <f>IF(G346="","",IF(IFERROR(VLOOKUP(E346,Config!$F$2:$H$60,3,FALSE),"Exento")="Afecto",ROUND(G346-(G346/1.12),2),0))</f>
      </c>
      <c r="I346" s="2">
        <f>IF(G346="","",ROUND(G346-H346,2))</f>
      </c>
      <c r="J346" t="inlineStr" s="0">
        <is>
          <t/>
        </is>
      </c>
      <c r="K346" s="3">
        <f>IF(G346="","",ROUND(K345+IF(J346="BI-Ahorro",0,IF(F346="Gasto",-G346,G346)),2))</f>
      </c>
      <c r="L346" s="2">
        <f>IF(G346="","",ROUND(L345+IF(LEFT(E346,4)="2102",G346,IF(J346="BI-Ahorro",-G346,0)),2))</f>
      </c>
      <c r="M346" t="inlineStr" s="0">
        <is>
          <t/>
        </is>
      </c>
      <c r="N346" t="inlineStr" s="0">
        <is>
          <t/>
        </is>
      </c>
      <c r="O346" t="inlineStr" s="0">
        <is>
          <t/>
        </is>
      </c>
    </row>
    <row r="347">
      <c r="A347" t="str" s="0">
        <f>IF(G347="","","ALT-26-"&amp;TEXT(ROW()-1,"000"))</f>
        <v/>
      </c>
      <c r="B347" t="inlineStr" s="0">
        <is>
          <t/>
        </is>
      </c>
      <c r="C347" t="inlineStr" s="0">
        <is>
          <t/>
        </is>
      </c>
      <c r="D347" t="inlineStr" s="0">
        <is>
          <t/>
        </is>
      </c>
      <c r="E347" t="inlineStr" s="0">
        <is>
          <t/>
        </is>
      </c>
      <c r="F347" t="str" s="0">
        <f>IF(E347="","",IFERROR(VLOOKUP(E347,Config!$F$2:$G$60,2,FALSE),"Gasto"))</f>
        <v/>
      </c>
      <c r="G347" s="2"/>
      <c r="H347" s="2">
        <f>IF(G347="","",IF(IFERROR(VLOOKUP(E347,Config!$F$2:$H$60,3,FALSE),"Exento")="Afecto",ROUND(G347-(G347/1.12),2),0))</f>
      </c>
      <c r="I347" s="2">
        <f>IF(G347="","",ROUND(G347-H347,2))</f>
      </c>
      <c r="J347" t="inlineStr" s="0">
        <is>
          <t/>
        </is>
      </c>
      <c r="K347" s="3">
        <f>IF(G347="","",ROUND(K346+IF(J347="BI-Ahorro",0,IF(F347="Gasto",-G347,G347)),2))</f>
      </c>
      <c r="L347" s="2">
        <f>IF(G347="","",ROUND(L346+IF(LEFT(E347,4)="2102",G347,IF(J347="BI-Ahorro",-G347,0)),2))</f>
      </c>
      <c r="M347" t="inlineStr" s="0">
        <is>
          <t/>
        </is>
      </c>
      <c r="N347" t="inlineStr" s="0">
        <is>
          <t/>
        </is>
      </c>
      <c r="O347" t="inlineStr" s="0">
        <is>
          <t/>
        </is>
      </c>
    </row>
    <row r="348">
      <c r="A348" t="str" s="0">
        <f>IF(G348="","","ALT-26-"&amp;TEXT(ROW()-1,"000"))</f>
        <v/>
      </c>
      <c r="B348" t="inlineStr" s="0">
        <is>
          <t/>
        </is>
      </c>
      <c r="C348" t="inlineStr" s="0">
        <is>
          <t/>
        </is>
      </c>
      <c r="D348" t="inlineStr" s="0">
        <is>
          <t/>
        </is>
      </c>
      <c r="E348" t="inlineStr" s="0">
        <is>
          <t/>
        </is>
      </c>
      <c r="F348" t="str" s="0">
        <f>IF(E348="","",IFERROR(VLOOKUP(E348,Config!$F$2:$G$60,2,FALSE),"Gasto"))</f>
        <v/>
      </c>
      <c r="G348" s="2"/>
      <c r="H348" s="2">
        <f>IF(G348="","",IF(IFERROR(VLOOKUP(E348,Config!$F$2:$H$60,3,FALSE),"Exento")="Afecto",ROUND(G348-(G348/1.12),2),0))</f>
      </c>
      <c r="I348" s="2">
        <f>IF(G348="","",ROUND(G348-H348,2))</f>
      </c>
      <c r="J348" t="inlineStr" s="0">
        <is>
          <t/>
        </is>
      </c>
      <c r="K348" s="3">
        <f>IF(G348="","",ROUND(K347+IF(J348="BI-Ahorro",0,IF(F348="Gasto",-G348,G348)),2))</f>
      </c>
      <c r="L348" s="2">
        <f>IF(G348="","",ROUND(L347+IF(LEFT(E348,4)="2102",G348,IF(J348="BI-Ahorro",-G348,0)),2))</f>
      </c>
      <c r="M348" t="inlineStr" s="0">
        <is>
          <t/>
        </is>
      </c>
      <c r="N348" t="inlineStr" s="0">
        <is>
          <t/>
        </is>
      </c>
      <c r="O348" t="inlineStr" s="0">
        <is>
          <t/>
        </is>
      </c>
    </row>
    <row r="349">
      <c r="A349" t="str" s="0">
        <f>IF(G349="","","ALT-26-"&amp;TEXT(ROW()-1,"000"))</f>
        <v/>
      </c>
      <c r="B349" t="inlineStr" s="0">
        <is>
          <t/>
        </is>
      </c>
      <c r="C349" t="inlineStr" s="0">
        <is>
          <t/>
        </is>
      </c>
      <c r="D349" t="inlineStr" s="0">
        <is>
          <t/>
        </is>
      </c>
      <c r="E349" t="inlineStr" s="0">
        <is>
          <t/>
        </is>
      </c>
      <c r="F349" t="str" s="0">
        <f>IF(E349="","",IFERROR(VLOOKUP(E349,Config!$F$2:$G$60,2,FALSE),"Gasto"))</f>
        <v/>
      </c>
      <c r="G349" s="2"/>
      <c r="H349" s="2">
        <f>IF(G349="","",IF(IFERROR(VLOOKUP(E349,Config!$F$2:$H$60,3,FALSE),"Exento")="Afecto",ROUND(G349-(G349/1.12),2),0))</f>
      </c>
      <c r="I349" s="2">
        <f>IF(G349="","",ROUND(G349-H349,2))</f>
      </c>
      <c r="J349" t="inlineStr" s="0">
        <is>
          <t/>
        </is>
      </c>
      <c r="K349" s="3">
        <f>IF(G349="","",ROUND(K348+IF(J349="BI-Ahorro",0,IF(F349="Gasto",-G349,G349)),2))</f>
      </c>
      <c r="L349" s="2">
        <f>IF(G349="","",ROUND(L348+IF(LEFT(E349,4)="2102",G349,IF(J349="BI-Ahorro",-G349,0)),2))</f>
      </c>
      <c r="M349" t="inlineStr" s="0">
        <is>
          <t/>
        </is>
      </c>
      <c r="N349" t="inlineStr" s="0">
        <is>
          <t/>
        </is>
      </c>
      <c r="O349" t="inlineStr" s="0">
        <is>
          <t/>
        </is>
      </c>
    </row>
    <row r="350">
      <c r="A350" t="str" s="0">
        <f>IF(G350="","","ALT-26-"&amp;TEXT(ROW()-1,"000"))</f>
        <v/>
      </c>
      <c r="B350" t="inlineStr" s="0">
        <is>
          <t/>
        </is>
      </c>
      <c r="C350" t="inlineStr" s="0">
        <is>
          <t/>
        </is>
      </c>
      <c r="D350" t="inlineStr" s="0">
        <is>
          <t/>
        </is>
      </c>
      <c r="E350" t="inlineStr" s="0">
        <is>
          <t/>
        </is>
      </c>
      <c r="F350" t="str" s="0">
        <f>IF(E350="","",IFERROR(VLOOKUP(E350,Config!$F$2:$G$60,2,FALSE),"Gasto"))</f>
        <v/>
      </c>
      <c r="G350" s="2"/>
      <c r="H350" s="2">
        <f>IF(G350="","",IF(IFERROR(VLOOKUP(E350,Config!$F$2:$H$60,3,FALSE),"Exento")="Afecto",ROUND(G350-(G350/1.12),2),0))</f>
      </c>
      <c r="I350" s="2">
        <f>IF(G350="","",ROUND(G350-H350,2))</f>
      </c>
      <c r="J350" t="inlineStr" s="0">
        <is>
          <t/>
        </is>
      </c>
      <c r="K350" s="3">
        <f>IF(G350="","",ROUND(K349+IF(J350="BI-Ahorro",0,IF(F350="Gasto",-G350,G350)),2))</f>
      </c>
      <c r="L350" s="2">
        <f>IF(G350="","",ROUND(L349+IF(LEFT(E350,4)="2102",G350,IF(J350="BI-Ahorro",-G350,0)),2))</f>
      </c>
      <c r="M350" t="inlineStr" s="0">
        <is>
          <t/>
        </is>
      </c>
      <c r="N350" t="inlineStr" s="0">
        <is>
          <t/>
        </is>
      </c>
      <c r="O350" t="inlineStr" s="0">
        <is>
          <t/>
        </is>
      </c>
    </row>
    <row r="351">
      <c r="A351" t="str" s="0">
        <f>IF(G351="","","ALT-26-"&amp;TEXT(ROW()-1,"000"))</f>
        <v/>
      </c>
      <c r="B351" t="inlineStr" s="0">
        <is>
          <t/>
        </is>
      </c>
      <c r="C351" t="inlineStr" s="0">
        <is>
          <t/>
        </is>
      </c>
      <c r="D351" t="inlineStr" s="0">
        <is>
          <t/>
        </is>
      </c>
      <c r="E351" t="inlineStr" s="0">
        <is>
          <t/>
        </is>
      </c>
      <c r="F351" t="str" s="0">
        <f>IF(E351="","",IFERROR(VLOOKUP(E351,Config!$F$2:$G$60,2,FALSE),"Gasto"))</f>
        <v/>
      </c>
      <c r="G351" s="2"/>
      <c r="H351" s="2">
        <f>IF(G351="","",IF(IFERROR(VLOOKUP(E351,Config!$F$2:$H$60,3,FALSE),"Exento")="Afecto",ROUND(G351-(G351/1.12),2),0))</f>
      </c>
      <c r="I351" s="2">
        <f>IF(G351="","",ROUND(G351-H351,2))</f>
      </c>
      <c r="J351" t="inlineStr" s="0">
        <is>
          <t/>
        </is>
      </c>
      <c r="K351" s="3">
        <f>IF(G351="","",ROUND(K350+IF(J351="BI-Ahorro",0,IF(F351="Gasto",-G351,G351)),2))</f>
      </c>
      <c r="L351" s="2">
        <f>IF(G351="","",ROUND(L350+IF(LEFT(E351,4)="2102",G351,IF(J351="BI-Ahorro",-G351,0)),2))</f>
      </c>
      <c r="M351" t="inlineStr" s="0">
        <is>
          <t/>
        </is>
      </c>
      <c r="N351" t="inlineStr" s="0">
        <is>
          <t/>
        </is>
      </c>
      <c r="O351" t="inlineStr" s="0">
        <is>
          <t/>
        </is>
      </c>
    </row>
    <row r="352">
      <c r="A352" t="str" s="0">
        <f>IF(G352="","","ALT-26-"&amp;TEXT(ROW()-1,"000"))</f>
        <v/>
      </c>
      <c r="B352" t="inlineStr" s="0">
        <is>
          <t/>
        </is>
      </c>
      <c r="C352" t="inlineStr" s="0">
        <is>
          <t/>
        </is>
      </c>
      <c r="D352" t="inlineStr" s="0">
        <is>
          <t/>
        </is>
      </c>
      <c r="E352" t="inlineStr" s="0">
        <is>
          <t/>
        </is>
      </c>
      <c r="F352" t="str" s="0">
        <f>IF(E352="","",IFERROR(VLOOKUP(E352,Config!$F$2:$G$60,2,FALSE),"Gasto"))</f>
        <v/>
      </c>
      <c r="G352" s="2"/>
      <c r="H352" s="2">
        <f>IF(G352="","",IF(IFERROR(VLOOKUP(E352,Config!$F$2:$H$60,3,FALSE),"Exento")="Afecto",ROUND(G352-(G352/1.12),2),0))</f>
      </c>
      <c r="I352" s="2">
        <f>IF(G352="","",ROUND(G352-H352,2))</f>
      </c>
      <c r="J352" t="inlineStr" s="0">
        <is>
          <t/>
        </is>
      </c>
      <c r="K352" s="3">
        <f>IF(G352="","",ROUND(K351+IF(J352="BI-Ahorro",0,IF(F352="Gasto",-G352,G352)),2))</f>
      </c>
      <c r="L352" s="2">
        <f>IF(G352="","",ROUND(L351+IF(LEFT(E352,4)="2102",G352,IF(J352="BI-Ahorro",-G352,0)),2))</f>
      </c>
      <c r="M352" t="inlineStr" s="0">
        <is>
          <t/>
        </is>
      </c>
      <c r="N352" t="inlineStr" s="0">
        <is>
          <t/>
        </is>
      </c>
      <c r="O352" t="inlineStr" s="0">
        <is>
          <t/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6" customWidth="1"/>
    <col min="2" max="2" width="22" customWidth="1"/>
    <col min="3" max="3" width="14" customWidth="1"/>
    <col min="4" max="4" width="24" customWidth="1"/>
    <col min="5" max="5" width="22" customWidth="1"/>
    <col min="6" max="6" width="28" customWidth="1"/>
    <col min="7" max="7" width="15" customWidth="1"/>
    <col min="8" max="8" width="16" customWidth="1"/>
    <col min="9" max="9" width="18" customWidth="1"/>
    <col min="10" max="10" width="15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8" customWidth="1"/>
    <col min="25" max="25" width="20" customWidth="1"/>
    <col min="26" max="26" width="18" customWidth="1"/>
    <col min="27" max="27" width="22" customWidth="1"/>
  </cols>
  <sheetData>
    <row r="1" ht="22" customHeight="1">
      <c r="A1" t="inlineStr" s="1">
        <is>
          <t>ID Familia</t>
        </is>
      </c>
      <c r="B1" t="inlineStr" s="1">
        <is>
          <t>Nombre Estudiante</t>
        </is>
      </c>
      <c r="C1" t="inlineStr" s="1">
        <is>
          <t>Grado</t>
        </is>
      </c>
      <c r="D1" t="inlineStr" s="1">
        <is>
          <t>Responsable Titular</t>
        </is>
      </c>
      <c r="E1" t="inlineStr" s="1">
        <is>
          <t>Contacto / Madre / Padre</t>
        </is>
      </c>
      <c r="F1" t="inlineStr" s="1">
        <is>
          <t>Correo Electrónico</t>
        </is>
      </c>
      <c r="G1" t="inlineStr" s="1">
        <is>
          <t>NIT Facturación FEL</t>
        </is>
      </c>
      <c r="H1" t="inlineStr" s="1">
        <is>
          <t>Inscripción Acordada (Q)</t>
        </is>
      </c>
      <c r="I1" t="inlineStr" s="1">
        <is>
          <t>Inscripción Pagada 2026 (Q)</t>
        </is>
      </c>
      <c r="J1" t="inlineStr" s="1">
        <is>
          <t>Cuota Mensual (Q)</t>
        </is>
      </c>
      <c r="K1" t="inlineStr" s="1">
        <is>
          <t>Mes Inicio</t>
        </is>
      </c>
      <c r="L1" t="inlineStr" s="1">
        <is>
          <t>enero</t>
        </is>
      </c>
      <c r="M1" t="inlineStr" s="1">
        <is>
          <t>febrero</t>
        </is>
      </c>
      <c r="N1" t="inlineStr" s="1">
        <is>
          <t>marzo</t>
        </is>
      </c>
      <c r="O1" t="inlineStr" s="1">
        <is>
          <t>abril</t>
        </is>
      </c>
      <c r="P1" t="inlineStr" s="1">
        <is>
          <t>mayo</t>
        </is>
      </c>
      <c r="Q1" t="inlineStr" s="1">
        <is>
          <t>junio</t>
        </is>
      </c>
      <c r="R1" t="inlineStr" s="1">
        <is>
          <t>julio</t>
        </is>
      </c>
      <c r="S1" t="inlineStr" s="1">
        <is>
          <t>agosto</t>
        </is>
      </c>
      <c r="T1" t="inlineStr" s="1">
        <is>
          <t>septiembre</t>
        </is>
      </c>
      <c r="U1" t="inlineStr" s="1">
        <is>
          <t>octubre</t>
        </is>
      </c>
      <c r="V1" t="inlineStr" s="1">
        <is>
          <t>noviembre</t>
        </is>
      </c>
      <c r="W1" t="inlineStr" s="1">
        <is>
          <t>diciembre</t>
        </is>
      </c>
      <c r="X1" t="inlineStr" s="1">
        <is>
          <t>Total Pagado 2026 (Q)</t>
        </is>
      </c>
      <c r="Y1" t="inlineStr" s="1">
        <is>
          <t>Saldo Pendiente a Oct (Q)</t>
        </is>
      </c>
      <c r="Z1" t="inlineStr" s="1">
        <is>
          <t>Inscripciones 2027 (Q)</t>
        </is>
      </c>
      <c r="AA1" t="inlineStr" s="1">
        <is>
          <t>Estado Solvencia</t>
        </is>
      </c>
    </row>
    <row r="2">
      <c r="A2" t="inlineStr" s="0">
        <is>
          <t>FAM_005_26AG</t>
        </is>
      </c>
      <c r="B2" t="inlineStr" s="0">
        <is>
          <t>Adriana García</t>
        </is>
      </c>
      <c r="C2" t="inlineStr" s="0">
        <is>
          <t>Primero</t>
        </is>
      </c>
      <c r="D2" t="inlineStr" s="0">
        <is>
          <t>Marjorie Sucely Monge</t>
        </is>
      </c>
      <c r="E2" t="inlineStr" s="0">
        <is>
          <t/>
        </is>
      </c>
      <c r="F2" t="inlineStr" s="0">
        <is>
          <t>mmonge3011@gmail.com</t>
        </is>
      </c>
      <c r="G2" t="inlineStr" s="0">
        <is>
          <t>68324901</t>
        </is>
      </c>
      <c r="H2" s="2">
        <v>10300.0</v>
      </c>
      <c r="I2" s="2">
        <f>SUMIFS(Diario!$G$2:$G$400,Diario!$E$2:$E$400,"4101 - Inscripciones",Diario!$D$2:$D$400,"*"&amp;$B2&amp;"*")</f>
        <v>0</v>
      </c>
      <c r="J2" s="3">
        <v>9300.0</v>
      </c>
      <c r="K2" t="inlineStr" s="0">
        <is>
          <t>Enero</t>
        </is>
      </c>
      <c r="L2" s="2">
        <f>SUMIFS(Diario!$G$2:$G$400,Diario!$D$2:$D$400,"*"&amp;$B2&amp;"*",Diario!$E$2:$E$400,"4102*",Diario!$C$2:$C$400,L$1)</f>
        <v>0</v>
      </c>
      <c r="M2" s="2">
        <f>SUMIFS(Diario!$G$2:$G$400,Diario!$D$2:$D$400,"*"&amp;$B2&amp;"*",Diario!$E$2:$E$400,"4102*",Diario!$C$2:$C$400,M$1)</f>
        <v>9300.0</v>
      </c>
      <c r="N2" s="2">
        <f>SUMIFS(Diario!$G$2:$G$400,Diario!$D$2:$D$400,"*"&amp;$B2&amp;"*",Diario!$E$2:$E$400,"4102*",Diario!$C$2:$C$400,N$1)</f>
        <v>7757.57</v>
      </c>
      <c r="O2" s="2">
        <f>SUMIFS(Diario!$G$2:$G$400,Diario!$D$2:$D$400,"*"&amp;$B2&amp;"*",Diario!$E$2:$E$400,"4102*",Diario!$C$2:$C$400,O$1)</f>
        <v>9300.0</v>
      </c>
      <c r="P2" s="2">
        <f>SUMIFS(Diario!$G$2:$G$400,Diario!$D$2:$D$400,"*"&amp;$B2&amp;"*",Diario!$E$2:$E$400,"4102*",Diario!$C$2:$C$400,P$1)</f>
        <v>9300.0</v>
      </c>
      <c r="Q2" s="2">
        <f>SUMIFS(Diario!$G$2:$G$400,Diario!$D$2:$D$400,"*"&amp;$B2&amp;"*",Diario!$E$2:$E$400,"4102*",Diario!$C$2:$C$400,Q$1)</f>
        <v>9300.0</v>
      </c>
      <c r="R2" s="2">
        <f>SUMIFS(Diario!$G$2:$G$400,Diario!$D$2:$D$400,"*"&amp;$B2&amp;"*",Diario!$E$2:$E$400,"4102*",Diario!$C$2:$C$400,R$1)</f>
        <v>9300.0</v>
      </c>
      <c r="S2" s="2">
        <f>SUMIFS(Diario!$G$2:$G$400,Diario!$D$2:$D$400,"*"&amp;$B2&amp;"*",Diario!$E$2:$E$400,"4102*",Diario!$C$2:$C$400,S$1)</f>
        <v>9300.0</v>
      </c>
      <c r="T2" s="2">
        <f>SUMIFS(Diario!$G$2:$G$400,Diario!$D$2:$D$400,"*"&amp;$B2&amp;"*",Diario!$E$2:$E$400,"4102*",Diario!$C$2:$C$400,T$1)</f>
        <v>9300.0</v>
      </c>
      <c r="U2" s="2">
        <f>SUMIFS(Diario!$G$2:$G$400,Diario!$D$2:$D$400,"*"&amp;$B2&amp;"*",Diario!$E$2:$E$400,"4102*",Diario!$C$2:$C$400,U$1)</f>
        <v>9300.0</v>
      </c>
      <c r="V2" s="2">
        <f>SUMIFS(Diario!$G$2:$G$400,Diario!$D$2:$D$400,"*"&amp;$B2&amp;"*",Diario!$E$2:$E$400,"4102*",Diario!$C$2:$C$400,V$1)</f>
        <v>0</v>
      </c>
      <c r="W2" s="2">
        <f>SUMIFS(Diario!$G$2:$G$400,Diario!$D$2:$D$400,"*"&amp;$B2&amp;"*",Diario!$E$2:$E$400,"4102*",Diario!$C$2:$C$400,W$1)</f>
        <v>0</v>
      </c>
      <c r="X2" s="3">
        <f>SUM(L2:W2)</f>
        <v>82157.57</v>
      </c>
      <c r="Y2" s="7">
        <f>IF(J2=0,0,MAX(0,(J2*10)-X2))</f>
        <v>10842.43</v>
      </c>
      <c r="Z2" s="2">
        <f>SUMIFS(Diario!$G$2:$G$400,Diario!$E$2:$E$400,"2107 - Anticipo de inscripciones",Diario!$D$2:$D$400,"*"&amp;$B2&amp;"*")</f>
        <v>0</v>
      </c>
      <c r="AA2" t="str" s="0">
        <f>IF(J2=0,"Retirado",IF(Y2&lt;=1,"✅ Al Día","⚠️ Pendiente Octubre"))</f>
        <v>⚠️ Pendiente Octubre</v>
      </c>
    </row>
    <row r="3">
      <c r="A3" t="inlineStr" s="0">
        <is>
          <t>FAM_004_26AG</t>
        </is>
      </c>
      <c r="B3" t="inlineStr" s="0">
        <is>
          <t>Andrei González</t>
        </is>
      </c>
      <c r="C3" t="inlineStr" s="0">
        <is>
          <t>Quinto</t>
        </is>
      </c>
      <c r="D3" t="inlineStr" s="0">
        <is>
          <t>José Carlos González</t>
        </is>
      </c>
      <c r="E3" t="inlineStr" s="0">
        <is>
          <t/>
        </is>
      </c>
      <c r="F3" t="inlineStr" s="0">
        <is>
          <t>josec.marcucci@gmail.com</t>
        </is>
      </c>
      <c r="G3" t="inlineStr" s="0">
        <is>
          <t>80779751</t>
        </is>
      </c>
      <c r="H3" s="2">
        <v>10300.0</v>
      </c>
      <c r="I3" s="2">
        <f>SUMIFS(Diario!$G$2:$G$400,Diario!$E$2:$E$400,"4101 - Inscripciones",Diario!$D$2:$D$400,"*"&amp;$B3&amp;"*")</f>
        <v>0</v>
      </c>
      <c r="J3" s="3">
        <v>3800.0</v>
      </c>
      <c r="K3" t="inlineStr" s="0">
        <is>
          <t>Enero</t>
        </is>
      </c>
      <c r="L3" s="2">
        <f>SUMIFS(Diario!$G$2:$G$400,Diario!$D$2:$D$400,"*"&amp;$B3&amp;"*",Diario!$E$2:$E$400,"4102*",Diario!$C$2:$C$400,L$1)</f>
        <v>0</v>
      </c>
      <c r="M3" s="2">
        <f>SUMIFS(Diario!$G$2:$G$400,Diario!$D$2:$D$400,"*"&amp;$B3&amp;"*",Diario!$E$2:$E$400,"4102*",Diario!$C$2:$C$400,M$1)</f>
        <v>3800.0</v>
      </c>
      <c r="N3" s="2">
        <f>SUMIFS(Diario!$G$2:$G$400,Diario!$D$2:$D$400,"*"&amp;$B3&amp;"*",Diario!$E$2:$E$400,"4102*",Diario!$C$2:$C$400,N$1)</f>
        <v>3800.0</v>
      </c>
      <c r="O3" s="2">
        <f>SUMIFS(Diario!$G$2:$G$400,Diario!$D$2:$D$400,"*"&amp;$B3&amp;"*",Diario!$E$2:$E$400,"4102*",Diario!$C$2:$C$400,O$1)</f>
        <v>3800.0</v>
      </c>
      <c r="P3" s="2">
        <f>SUMIFS(Diario!$G$2:$G$400,Diario!$D$2:$D$400,"*"&amp;$B3&amp;"*",Diario!$E$2:$E$400,"4102*",Diario!$C$2:$C$400,P$1)</f>
        <v>3800.0</v>
      </c>
      <c r="Q3" s="2">
        <f>SUMIFS(Diario!$G$2:$G$400,Diario!$D$2:$D$400,"*"&amp;$B3&amp;"*",Diario!$E$2:$E$400,"4102*",Diario!$C$2:$C$400,Q$1)</f>
        <v>3800.0</v>
      </c>
      <c r="R3" s="2">
        <f>SUMIFS(Diario!$G$2:$G$400,Diario!$D$2:$D$400,"*"&amp;$B3&amp;"*",Diario!$E$2:$E$400,"4102*",Diario!$C$2:$C$400,R$1)</f>
        <v>3800.0</v>
      </c>
      <c r="S3" s="2">
        <f>SUMIFS(Diario!$G$2:$G$400,Diario!$D$2:$D$400,"*"&amp;$B3&amp;"*",Diario!$E$2:$E$400,"4102*",Diario!$C$2:$C$400,S$1)</f>
        <v>3800.0</v>
      </c>
      <c r="T3" s="2">
        <f>SUMIFS(Diario!$G$2:$G$400,Diario!$D$2:$D$400,"*"&amp;$B3&amp;"*",Diario!$E$2:$E$400,"4102*",Diario!$C$2:$C$400,T$1)</f>
        <v>3800.0</v>
      </c>
      <c r="U3" s="2">
        <f>SUMIFS(Diario!$G$2:$G$400,Diario!$D$2:$D$400,"*"&amp;$B3&amp;"*",Diario!$E$2:$E$400,"4102*",Diario!$C$2:$C$400,U$1)</f>
        <v>3800.0</v>
      </c>
      <c r="V3" s="2">
        <f>SUMIFS(Diario!$G$2:$G$400,Diario!$D$2:$D$400,"*"&amp;$B3&amp;"*",Diario!$E$2:$E$400,"4102*",Diario!$C$2:$C$400,V$1)</f>
        <v>0</v>
      </c>
      <c r="W3" s="2">
        <f>SUMIFS(Diario!$G$2:$G$400,Diario!$D$2:$D$400,"*"&amp;$B3&amp;"*",Diario!$E$2:$E$400,"4102*",Diario!$C$2:$C$400,W$1)</f>
        <v>0</v>
      </c>
      <c r="X3" s="3">
        <f>SUM(L3:W3)</f>
        <v>34200.0</v>
      </c>
      <c r="Y3" s="7">
        <f>IF(J3=0,0,MAX(0,(J3*10)-X3))</f>
        <v>3800.0</v>
      </c>
      <c r="Z3" s="2">
        <f>SUMIFS(Diario!$G$2:$G$400,Diario!$E$2:$E$400,"2107 - Anticipo de inscripciones",Diario!$D$2:$D$400,"*"&amp;$B3&amp;"*")</f>
        <v>0</v>
      </c>
      <c r="AA3" t="str" s="0">
        <f>IF(J3=0,"Retirado",IF(Y3&lt;=1,"✅ Al Día","⚠️ Pendiente Octubre"))</f>
        <v>⚠️ Pendiente Octubre</v>
      </c>
    </row>
    <row r="4">
      <c r="A4" t="inlineStr" s="0">
        <is>
          <t>FAM_001-26GR</t>
        </is>
      </c>
      <c r="B4" t="inlineStr" s="0">
        <is>
          <t>Gabriel Ruíz</t>
        </is>
      </c>
      <c r="C4" t="inlineStr" s="0">
        <is>
          <t>Kinder</t>
        </is>
      </c>
      <c r="D4" t="inlineStr" s="0">
        <is>
          <t>Dulce Patricia Salazar</t>
        </is>
      </c>
      <c r="E4" t="inlineStr" s="0">
        <is>
          <t/>
        </is>
      </c>
      <c r="F4" t="inlineStr" s="0">
        <is>
          <t>dulcepsalazarg@gmail.com</t>
        </is>
      </c>
      <c r="G4" t="inlineStr" s="0">
        <is>
          <t>72067624</t>
        </is>
      </c>
      <c r="H4" s="2">
        <v>10300.0</v>
      </c>
      <c r="I4" s="2">
        <f>SUMIFS(Diario!$G$2:$G$400,Diario!$E$2:$E$400,"4101 - Inscripciones",Diario!$D$2:$D$400,"*"&amp;$B4&amp;"*")</f>
        <v>0</v>
      </c>
      <c r="J4" s="3">
        <v>9300.0</v>
      </c>
      <c r="K4" t="inlineStr" s="0">
        <is>
          <t>Enero</t>
        </is>
      </c>
      <c r="L4" s="2">
        <f>SUMIFS(Diario!$G$2:$G$400,Diario!$D$2:$D$400,"*"&amp;$B4&amp;"*",Diario!$E$2:$E$400,"4102*",Diario!$C$2:$C$400,L$1)</f>
        <v>9300.0</v>
      </c>
      <c r="M4" s="2">
        <f>SUMIFS(Diario!$G$2:$G$400,Diario!$D$2:$D$400,"*"&amp;$B4&amp;"*",Diario!$E$2:$E$400,"4102*",Diario!$C$2:$C$400,M$1)</f>
        <v>9300.0</v>
      </c>
      <c r="N4" s="2">
        <f>SUMIFS(Diario!$G$2:$G$400,Diario!$D$2:$D$400,"*"&amp;$B4&amp;"*",Diario!$E$2:$E$400,"4102*",Diario!$C$2:$C$400,N$1)</f>
        <v>9300.0</v>
      </c>
      <c r="O4" s="2">
        <f>SUMIFS(Diario!$G$2:$G$400,Diario!$D$2:$D$400,"*"&amp;$B4&amp;"*",Diario!$E$2:$E$400,"4102*",Diario!$C$2:$C$400,O$1)</f>
        <v>9300.0</v>
      </c>
      <c r="P4" s="2">
        <f>SUMIFS(Diario!$G$2:$G$400,Diario!$D$2:$D$400,"*"&amp;$B4&amp;"*",Diario!$E$2:$E$400,"4102*",Diario!$C$2:$C$400,P$1)</f>
        <v>9300.0</v>
      </c>
      <c r="Q4" s="2">
        <f>SUMIFS(Diario!$G$2:$G$400,Diario!$D$2:$D$400,"*"&amp;$B4&amp;"*",Diario!$E$2:$E$400,"4102*",Diario!$C$2:$C$400,Q$1)</f>
        <v>9300.0</v>
      </c>
      <c r="R4" s="2">
        <f>SUMIFS(Diario!$G$2:$G$400,Diario!$D$2:$D$400,"*"&amp;$B4&amp;"*",Diario!$E$2:$E$400,"4102*",Diario!$C$2:$C$400,R$1)</f>
        <v>9300.0</v>
      </c>
      <c r="S4" s="2">
        <f>SUMIFS(Diario!$G$2:$G$400,Diario!$D$2:$D$400,"*"&amp;$B4&amp;"*",Diario!$E$2:$E$400,"4102*",Diario!$C$2:$C$400,S$1)</f>
        <v>9300.0</v>
      </c>
      <c r="T4" s="2">
        <f>SUMIFS(Diario!$G$2:$G$400,Diario!$D$2:$D$400,"*"&amp;$B4&amp;"*",Diario!$E$2:$E$400,"4102*",Diario!$C$2:$C$400,T$1)</f>
        <v>9300.0</v>
      </c>
      <c r="U4" s="2">
        <f>SUMIFS(Diario!$G$2:$G$400,Diario!$D$2:$D$400,"*"&amp;$B4&amp;"*",Diario!$E$2:$E$400,"4102*",Diario!$C$2:$C$400,U$1)</f>
        <v>9300.0</v>
      </c>
      <c r="V4" s="2">
        <f>SUMIFS(Diario!$G$2:$G$400,Diario!$D$2:$D$400,"*"&amp;$B4&amp;"*",Diario!$E$2:$E$400,"4102*",Diario!$C$2:$C$400,V$1)</f>
        <v>0</v>
      </c>
      <c r="W4" s="2">
        <f>SUMIFS(Diario!$G$2:$G$400,Diario!$D$2:$D$400,"*"&amp;$B4&amp;"*",Diario!$E$2:$E$400,"4102*",Diario!$C$2:$C$400,W$1)</f>
        <v>0</v>
      </c>
      <c r="X4" s="3">
        <f>SUM(L4:W4)</f>
        <v>93000.0</v>
      </c>
      <c r="Y4" s="2">
        <f>IF(J4=0,0,MAX(0,(J4*10)-X4))</f>
        <v>0.0</v>
      </c>
      <c r="Z4" s="7">
        <f>SUMIFS(Diario!$G$2:$G$400,Diario!$E$2:$E$400,"2107 - Anticipo de inscripciones",Diario!$D$2:$D$400,"*"&amp;$B4&amp;"*")</f>
        <v>5150.0</v>
      </c>
      <c r="AA4" t="str" s="0">
        <f>IF(J4=0,"Retirado",IF(Y4&lt;=1,"✅ Al Día","⚠️ Pendiente Octubre"))</f>
        <v>✅ Al Día</v>
      </c>
    </row>
    <row r="5">
      <c r="A5" t="inlineStr" s="0">
        <is>
          <t>FAM_007_26GF</t>
        </is>
      </c>
      <c r="B5" t="inlineStr" s="0">
        <is>
          <t>Giulia Fiorini</t>
        </is>
      </c>
      <c r="C5" t="inlineStr" s="0">
        <is>
          <t>Pre-Kinder</t>
        </is>
      </c>
      <c r="D5" t="inlineStr" s="0">
        <is>
          <t>María José Pineda</t>
        </is>
      </c>
      <c r="E5" t="inlineStr" s="0">
        <is>
          <t/>
        </is>
      </c>
      <c r="F5" t="inlineStr" s="0">
        <is>
          <t>mariajosep11r@gmail.com</t>
        </is>
      </c>
      <c r="G5" t="inlineStr" s="0">
        <is>
          <t>11905336</t>
        </is>
      </c>
      <c r="H5" s="2">
        <v>1850.0</v>
      </c>
      <c r="I5" s="2">
        <f>SUMIFS(Diario!$G$2:$G$400,Diario!$E$2:$E$400,"4101 - Inscripciones",Diario!$D$2:$D$400,"*"&amp;$B5&amp;"*")</f>
        <v>1850.04</v>
      </c>
      <c r="J5" s="3">
        <v>1850.0</v>
      </c>
      <c r="K5" t="inlineStr" s="0">
        <is>
          <t>Abril</t>
        </is>
      </c>
      <c r="L5" s="2">
        <f>SUMIFS(Diario!$G$2:$G$400,Diario!$D$2:$D$400,"*"&amp;$B5&amp;"*",Diario!$E$2:$E$400,"4102*",Diario!$C$2:$C$400,L$1)</f>
        <v>0</v>
      </c>
      <c r="M5" s="2">
        <f>SUMIFS(Diario!$G$2:$G$400,Diario!$D$2:$D$400,"*"&amp;$B5&amp;"*",Diario!$E$2:$E$400,"4102*",Diario!$C$2:$C$400,M$1)</f>
        <v>0</v>
      </c>
      <c r="N5" s="2">
        <f>SUMIFS(Diario!$G$2:$G$400,Diario!$D$2:$D$400,"*"&amp;$B5&amp;"*",Diario!$E$2:$E$400,"4102*",Diario!$C$2:$C$400,N$1)</f>
        <v>0</v>
      </c>
      <c r="O5" s="2">
        <f>SUMIFS(Diario!$G$2:$G$400,Diario!$D$2:$D$400,"*"&amp;$B5&amp;"*",Diario!$E$2:$E$400,"4102*",Diario!$C$2:$C$400,O$1)</f>
        <v>1850.0</v>
      </c>
      <c r="P5" s="2">
        <f>SUMIFS(Diario!$G$2:$G$400,Diario!$D$2:$D$400,"*"&amp;$B5&amp;"*",Diario!$E$2:$E$400,"4102*",Diario!$C$2:$C$400,P$1)</f>
        <v>1850.0</v>
      </c>
      <c r="Q5" s="2">
        <f>SUMIFS(Diario!$G$2:$G$400,Diario!$D$2:$D$400,"*"&amp;$B5&amp;"*",Diario!$E$2:$E$400,"4102*",Diario!$C$2:$C$400,Q$1)</f>
        <v>1850.0</v>
      </c>
      <c r="R5" s="2">
        <f>SUMIFS(Diario!$G$2:$G$400,Diario!$D$2:$D$400,"*"&amp;$B5&amp;"*",Diario!$E$2:$E$400,"4102*",Diario!$C$2:$C$400,R$1)</f>
        <v>1850.0</v>
      </c>
      <c r="S5" s="2">
        <f>SUMIFS(Diario!$G$2:$G$400,Diario!$D$2:$D$400,"*"&amp;$B5&amp;"*",Diario!$E$2:$E$400,"4102*",Diario!$C$2:$C$400,S$1)</f>
        <v>1850.0</v>
      </c>
      <c r="T5" s="2">
        <f>SUMIFS(Diario!$G$2:$G$400,Diario!$D$2:$D$400,"*"&amp;$B5&amp;"*",Diario!$E$2:$E$400,"4102*",Diario!$C$2:$C$400,T$1)</f>
        <v>1850.0</v>
      </c>
      <c r="U5" s="2">
        <f>SUMIFS(Diario!$G$2:$G$400,Diario!$D$2:$D$400,"*"&amp;$B5&amp;"*",Diario!$E$2:$E$400,"4102*",Diario!$C$2:$C$400,U$1)</f>
        <v>1850.0</v>
      </c>
      <c r="V5" s="2">
        <f>SUMIFS(Diario!$G$2:$G$400,Diario!$D$2:$D$400,"*"&amp;$B5&amp;"*",Diario!$E$2:$E$400,"4102*",Diario!$C$2:$C$400,V$1)</f>
        <v>0</v>
      </c>
      <c r="W5" s="2">
        <f>SUMIFS(Diario!$G$2:$G$400,Diario!$D$2:$D$400,"*"&amp;$B5&amp;"*",Diario!$E$2:$E$400,"4102*",Diario!$C$2:$C$400,W$1)</f>
        <v>0</v>
      </c>
      <c r="X5" s="3">
        <f>SUM(L5:W5)</f>
        <v>12950.0</v>
      </c>
      <c r="Y5" s="2">
        <f>IF(J5=0,0,MAX(0,(J5*7)-X5))</f>
        <v>0.0</v>
      </c>
      <c r="Z5" s="2">
        <f>SUMIFS(Diario!$G$2:$G$400,Diario!$E$2:$E$400,"2107 - Anticipo de inscripciones",Diario!$D$2:$D$400,"*"&amp;$B5&amp;"*")</f>
        <v>0</v>
      </c>
      <c r="AA5" t="str" s="0">
        <f>IF(J5=0,"Retirado",IF(Y5&lt;=1,"✅ Al Día","⚠️ Pendiente Octubre"))</f>
        <v>✅ Al Día</v>
      </c>
    </row>
    <row r="6">
      <c r="A6" t="inlineStr" s="0">
        <is>
          <t>FAM_006_26GM</t>
        </is>
      </c>
      <c r="B6" t="inlineStr" s="0">
        <is>
          <t>Günther Márquez</t>
        </is>
      </c>
      <c r="C6" t="inlineStr" s="0">
        <is>
          <t>Pre-Kinder</t>
        </is>
      </c>
      <c r="D6" t="inlineStr" s="0">
        <is>
          <t>Valeria Andrea Márquez</t>
        </is>
      </c>
      <c r="E6" t="inlineStr" s="0">
        <is>
          <t/>
        </is>
      </c>
      <c r="F6" t="inlineStr" s="0">
        <is>
          <t>valeriamarquez.12345@gmail.com</t>
        </is>
      </c>
      <c r="G6" t="inlineStr" s="0">
        <is>
          <t>CF</t>
        </is>
      </c>
      <c r="H6" s="2">
        <v>10300.0</v>
      </c>
      <c r="I6" s="2">
        <f>SUMIFS(Diario!$G$2:$G$400,Diario!$E$2:$E$400,"4101 - Inscripciones",Diario!$D$2:$D$400,"*"&amp;$B6&amp;"*")</f>
        <v>10299.67</v>
      </c>
      <c r="J6" s="3">
        <v>3800.0</v>
      </c>
      <c r="K6" t="inlineStr" s="0">
        <is>
          <t>Enero</t>
        </is>
      </c>
      <c r="L6" s="2">
        <f>SUMIFS(Diario!$G$2:$G$400,Diario!$D$2:$D$400,"*"&amp;$B6&amp;"*",Diario!$E$2:$E$400,"4102*",Diario!$C$2:$C$400,L$1)</f>
        <v>3800.0</v>
      </c>
      <c r="M6" s="2">
        <f>SUMIFS(Diario!$G$2:$G$400,Diario!$D$2:$D$400,"*"&amp;$B6&amp;"*",Diario!$E$2:$E$400,"4102*",Diario!$C$2:$C$400,M$1)</f>
        <v>3800.0</v>
      </c>
      <c r="N6" s="2">
        <f>SUMIFS(Diario!$G$2:$G$400,Diario!$D$2:$D$400,"*"&amp;$B6&amp;"*",Diario!$E$2:$E$400,"4102*",Diario!$C$2:$C$400,N$1)</f>
        <v>3800.0</v>
      </c>
      <c r="O6" s="2">
        <f>SUMIFS(Diario!$G$2:$G$400,Diario!$D$2:$D$400,"*"&amp;$B6&amp;"*",Diario!$E$2:$E$400,"4102*",Diario!$C$2:$C$400,O$1)</f>
        <v>3800.0</v>
      </c>
      <c r="P6" s="2">
        <f>SUMIFS(Diario!$G$2:$G$400,Diario!$D$2:$D$400,"*"&amp;$B6&amp;"*",Diario!$E$2:$E$400,"4102*",Diario!$C$2:$C$400,P$1)</f>
        <v>2758.33</v>
      </c>
      <c r="Q6" s="2">
        <f>SUMIFS(Diario!$G$2:$G$400,Diario!$D$2:$D$400,"*"&amp;$B6&amp;"*",Diario!$E$2:$E$400,"4102*",Diario!$C$2:$C$400,Q$1)</f>
        <v>1042.0</v>
      </c>
      <c r="R6" s="2">
        <f>SUMIFS(Diario!$G$2:$G$400,Diario!$D$2:$D$400,"*"&amp;$B6&amp;"*",Diario!$E$2:$E$400,"4102*",Diario!$C$2:$C$400,R$1)</f>
        <v>4343.31</v>
      </c>
      <c r="S6" s="2">
        <f>SUMIFS(Diario!$G$2:$G$400,Diario!$D$2:$D$400,"*"&amp;$B6&amp;"*",Diario!$E$2:$E$400,"4102*",Diario!$C$2:$C$400,S$1)</f>
        <v>0</v>
      </c>
      <c r="T6" s="2">
        <f>SUMIFS(Diario!$G$2:$G$400,Diario!$D$2:$D$400,"*"&amp;$B6&amp;"*",Diario!$E$2:$E$400,"4102*",Diario!$C$2:$C$400,T$1)</f>
        <v>0</v>
      </c>
      <c r="U6" s="2">
        <f>SUMIFS(Diario!$G$2:$G$400,Diario!$D$2:$D$400,"*"&amp;$B6&amp;"*",Diario!$E$2:$E$400,"4102*",Diario!$C$2:$C$400,U$1)</f>
        <v>0</v>
      </c>
      <c r="V6" s="2">
        <f>SUMIFS(Diario!$G$2:$G$400,Diario!$D$2:$D$400,"*"&amp;$B6&amp;"*",Diario!$E$2:$E$400,"4102*",Diario!$C$2:$C$400,V$1)</f>
        <v>0</v>
      </c>
      <c r="W6" s="2">
        <f>SUMIFS(Diario!$G$2:$G$400,Diario!$D$2:$D$400,"*"&amp;$B6&amp;"*",Diario!$E$2:$E$400,"4102*",Diario!$C$2:$C$400,W$1)</f>
        <v>0</v>
      </c>
      <c r="X6" s="3">
        <f>SUM(L6:W6)</f>
        <v>23343.64</v>
      </c>
      <c r="Y6" s="7">
        <f>IF(J6=0,0,MAX(0,(J6*10)-X6))</f>
        <v>14656.36</v>
      </c>
      <c r="Z6" s="2">
        <f>SUMIFS(Diario!$G$2:$G$400,Diario!$E$2:$E$400,"2107 - Anticipo de inscripciones",Diario!$D$2:$D$400,"*"&amp;$B6&amp;"*")</f>
        <v>0</v>
      </c>
      <c r="AA6" t="str" s="0">
        <f>IF(J6=0,"Retirado",IF(Y6&lt;=1,"✅ Al Día","⚠️ Pendiente Octubre"))</f>
        <v>⚠️ Pendiente Octubre</v>
      </c>
    </row>
    <row r="7">
      <c r="A7" t="inlineStr" s="0">
        <is>
          <t>FAM_002-26LF</t>
        </is>
      </c>
      <c r="B7" t="inlineStr" s="0">
        <is>
          <t>Luís Felipe Guzmán</t>
        </is>
      </c>
      <c r="C7" t="inlineStr" s="0">
        <is>
          <t>Primero</t>
        </is>
      </c>
      <c r="D7" t="inlineStr" s="0">
        <is>
          <t>Mario Miguel Guzmán</t>
        </is>
      </c>
      <c r="E7" t="inlineStr" s="0">
        <is>
          <t>Pamela Sosa Cuéllar</t>
        </is>
      </c>
      <c r="F7" t="inlineStr" s="0">
        <is>
          <t>pamela.sosa.cuellar@gmail.com</t>
        </is>
      </c>
      <c r="G7" t="inlineStr" s="0">
        <is>
          <t>35358580</t>
        </is>
      </c>
      <c r="H7" s="2">
        <v>10300.0</v>
      </c>
      <c r="I7" s="2">
        <f>SUMIFS(Diario!$G$2:$G$400,Diario!$E$2:$E$400,"4101 - Inscripciones",Diario!$D$2:$D$400,"*"&amp;$B7&amp;"*")</f>
        <v>0</v>
      </c>
      <c r="J7" s="3">
        <v>9300.0</v>
      </c>
      <c r="K7" t="inlineStr" s="0">
        <is>
          <t>Enero</t>
        </is>
      </c>
      <c r="L7" s="2">
        <f>SUMIFS(Diario!$G$2:$G$400,Diario!$D$2:$D$400,"*"&amp;$B7&amp;"*",Diario!$E$2:$E$400,"4102*",Diario!$C$2:$C$400,L$1)</f>
        <v>9300.0</v>
      </c>
      <c r="M7" s="2">
        <f>SUMIFS(Diario!$G$2:$G$400,Diario!$D$2:$D$400,"*"&amp;$B7&amp;"*",Diario!$E$2:$E$400,"4102*",Diario!$C$2:$C$400,M$1)</f>
        <v>9300.0</v>
      </c>
      <c r="N7" s="2">
        <f>SUMIFS(Diario!$G$2:$G$400,Diario!$D$2:$D$400,"*"&amp;$B7&amp;"*",Diario!$E$2:$E$400,"4102*",Diario!$C$2:$C$400,N$1)</f>
        <v>9300.0</v>
      </c>
      <c r="O7" s="2">
        <f>SUMIFS(Diario!$G$2:$G$400,Diario!$D$2:$D$400,"*"&amp;$B7&amp;"*",Diario!$E$2:$E$400,"4102*",Diario!$C$2:$C$400,O$1)</f>
        <v>9300.0</v>
      </c>
      <c r="P7" s="2">
        <f>SUMIFS(Diario!$G$2:$G$400,Diario!$D$2:$D$400,"*"&amp;$B7&amp;"*",Diario!$E$2:$E$400,"4102*",Diario!$C$2:$C$400,P$1)</f>
        <v>9300.0</v>
      </c>
      <c r="Q7" s="2">
        <f>SUMIFS(Diario!$G$2:$G$400,Diario!$D$2:$D$400,"*"&amp;$B7&amp;"*",Diario!$E$2:$E$400,"4102*",Diario!$C$2:$C$400,Q$1)</f>
        <v>9300.0</v>
      </c>
      <c r="R7" s="2">
        <f>SUMIFS(Diario!$G$2:$G$400,Diario!$D$2:$D$400,"*"&amp;$B7&amp;"*",Diario!$E$2:$E$400,"4102*",Diario!$C$2:$C$400,R$1)</f>
        <v>9300.0</v>
      </c>
      <c r="S7" s="2">
        <f>SUMIFS(Diario!$G$2:$G$400,Diario!$D$2:$D$400,"*"&amp;$B7&amp;"*",Diario!$E$2:$E$400,"4102*",Diario!$C$2:$C$400,S$1)</f>
        <v>9300.0</v>
      </c>
      <c r="T7" s="2">
        <f>SUMIFS(Diario!$G$2:$G$400,Diario!$D$2:$D$400,"*"&amp;$B7&amp;"*",Diario!$E$2:$E$400,"4102*",Diario!$C$2:$C$400,T$1)</f>
        <v>9300.0</v>
      </c>
      <c r="U7" s="2">
        <f>SUMIFS(Diario!$G$2:$G$400,Diario!$D$2:$D$400,"*"&amp;$B7&amp;"*",Diario!$E$2:$E$400,"4102*",Diario!$C$2:$C$400,U$1)</f>
        <v>9300.0</v>
      </c>
      <c r="V7" s="2">
        <f>SUMIFS(Diario!$G$2:$G$400,Diario!$D$2:$D$400,"*"&amp;$B7&amp;"*",Diario!$E$2:$E$400,"4102*",Diario!$C$2:$C$400,V$1)</f>
        <v>0</v>
      </c>
      <c r="W7" s="2">
        <f>SUMIFS(Diario!$G$2:$G$400,Diario!$D$2:$D$400,"*"&amp;$B7&amp;"*",Diario!$E$2:$E$400,"4102*",Diario!$C$2:$C$400,W$1)</f>
        <v>0</v>
      </c>
      <c r="X7" s="3">
        <f>SUM(L7:W7)</f>
        <v>93000.0</v>
      </c>
      <c r="Y7" s="2">
        <f>IF(J7=0,0,MAX(0,(J7*10)-X7))</f>
        <v>0.0</v>
      </c>
      <c r="Z7" s="2">
        <f>SUMIFS(Diario!$G$2:$G$400,Diario!$E$2:$E$400,"2107 - Anticipo de inscripciones",Diario!$D$2:$D$400,"*"&amp;$B7&amp;"*")</f>
        <v>0</v>
      </c>
      <c r="AA7" t="str" s="0">
        <f>IF(J7=0,"Retirado",IF(Y7&lt;=1,"✅ Al Día","⚠️ Pendiente Octubre"))</f>
        <v>✅ Al Día</v>
      </c>
    </row>
    <row r="8">
      <c r="A8" t="inlineStr" s="0">
        <is>
          <t>FAM_003_26MT</t>
        </is>
      </c>
      <c r="B8" t="inlineStr" s="0">
        <is>
          <t>Mateo Toribio</t>
        </is>
      </c>
      <c r="C8" t="inlineStr" s="0">
        <is>
          <t>Kinder</t>
        </is>
      </c>
      <c r="D8" t="inlineStr" s="0">
        <is>
          <t>Eddy Ricardo Toribio</t>
        </is>
      </c>
      <c r="E8" t="inlineStr" s="0">
        <is>
          <t/>
        </is>
      </c>
      <c r="F8" t="inlineStr" s="0">
        <is>
          <t>adagbran1@gmail.com</t>
        </is>
      </c>
      <c r="G8" t="inlineStr" s="0">
        <is>
          <t>18411517</t>
        </is>
      </c>
      <c r="H8" s="2">
        <v>10300.0</v>
      </c>
      <c r="I8" s="2">
        <f>SUMIFS(Diario!$G$2:$G$400,Diario!$E$2:$E$400,"4101 - Inscripciones",Diario!$D$2:$D$400,"*"&amp;$B8&amp;"*")</f>
        <v>0</v>
      </c>
      <c r="J8" s="3">
        <v>9300.0</v>
      </c>
      <c r="K8" t="inlineStr" s="0">
        <is>
          <t>Enero</t>
        </is>
      </c>
      <c r="L8" s="2">
        <f>SUMIFS(Diario!$G$2:$G$400,Diario!$D$2:$D$400,"*"&amp;$B8&amp;"*",Diario!$E$2:$E$400,"4102*",Diario!$C$2:$C$400,L$1)</f>
        <v>9300.0</v>
      </c>
      <c r="M8" s="2">
        <f>SUMIFS(Diario!$G$2:$G$400,Diario!$D$2:$D$400,"*"&amp;$B8&amp;"*",Diario!$E$2:$E$400,"4102*",Diario!$C$2:$C$400,M$1)</f>
        <v>9300.0</v>
      </c>
      <c r="N8" s="2">
        <f>SUMIFS(Diario!$G$2:$G$400,Diario!$D$2:$D$400,"*"&amp;$B8&amp;"*",Diario!$E$2:$E$400,"4102*",Diario!$C$2:$C$400,N$1)</f>
        <v>9300.0</v>
      </c>
      <c r="O8" s="2">
        <f>SUMIFS(Diario!$G$2:$G$400,Diario!$D$2:$D$400,"*"&amp;$B8&amp;"*",Diario!$E$2:$E$400,"4102*",Diario!$C$2:$C$400,O$1)</f>
        <v>9300.0</v>
      </c>
      <c r="P8" s="2">
        <f>SUMIFS(Diario!$G$2:$G$400,Diario!$D$2:$D$400,"*"&amp;$B8&amp;"*",Diario!$E$2:$E$400,"4102*",Diario!$C$2:$C$400,P$1)</f>
        <v>9300.0</v>
      </c>
      <c r="Q8" s="2">
        <f>SUMIFS(Diario!$G$2:$G$400,Diario!$D$2:$D$400,"*"&amp;$B8&amp;"*",Diario!$E$2:$E$400,"4102*",Diario!$C$2:$C$400,Q$1)</f>
        <v>9300.0</v>
      </c>
      <c r="R8" s="2">
        <f>SUMIFS(Diario!$G$2:$G$400,Diario!$D$2:$D$400,"*"&amp;$B8&amp;"*",Diario!$E$2:$E$400,"4102*",Diario!$C$2:$C$400,R$1)</f>
        <v>9300.0</v>
      </c>
      <c r="S8" s="2">
        <f>SUMIFS(Diario!$G$2:$G$400,Diario!$D$2:$D$400,"*"&amp;$B8&amp;"*",Diario!$E$2:$E$400,"4102*",Diario!$C$2:$C$400,S$1)</f>
        <v>9300.0</v>
      </c>
      <c r="T8" s="2">
        <f>SUMIFS(Diario!$G$2:$G$400,Diario!$D$2:$D$400,"*"&amp;$B8&amp;"*",Diario!$E$2:$E$400,"4102*",Diario!$C$2:$C$400,T$1)</f>
        <v>9300.0</v>
      </c>
      <c r="U8" s="2">
        <f>SUMIFS(Diario!$G$2:$G$400,Diario!$D$2:$D$400,"*"&amp;$B8&amp;"*",Diario!$E$2:$E$400,"4102*",Diario!$C$2:$C$400,U$1)</f>
        <v>9300.0</v>
      </c>
      <c r="V8" s="2">
        <f>SUMIFS(Diario!$G$2:$G$400,Diario!$D$2:$D$400,"*"&amp;$B8&amp;"*",Diario!$E$2:$E$400,"4102*",Diario!$C$2:$C$400,V$1)</f>
        <v>0</v>
      </c>
      <c r="W8" s="2">
        <f>SUMIFS(Diario!$G$2:$G$400,Diario!$D$2:$D$400,"*"&amp;$B8&amp;"*",Diario!$E$2:$E$400,"4102*",Diario!$C$2:$C$400,W$1)</f>
        <v>0</v>
      </c>
      <c r="X8" s="3">
        <f>SUM(L8:W8)</f>
        <v>93000.0</v>
      </c>
      <c r="Y8" s="2">
        <f>IF(J8=0,0,MAX(0,(J8*10)-X8))</f>
        <v>0.0</v>
      </c>
      <c r="Z8" s="2">
        <f>SUMIFS(Diario!$G$2:$G$400,Diario!$E$2:$E$400,"2107 - Anticipo de inscripciones",Diario!$D$2:$D$400,"*"&amp;$B8&amp;"*")</f>
        <v>0</v>
      </c>
      <c r="AA8" t="str" s="0">
        <f>IF(J8=0,"Retirado",IF(Y8&lt;=1,"✅ Al Día","⚠️ Pendiente Octubre"))</f>
        <v>✅ Al Día</v>
      </c>
    </row>
    <row r="9">
      <c r="A9" t="inlineStr" s="0">
        <is>
          <t>FAM_008_26MG</t>
        </is>
      </c>
      <c r="B9" t="inlineStr" s="0">
        <is>
          <t>Rodrigo Gallinsa</t>
        </is>
      </c>
      <c r="C9" t="inlineStr" s="0">
        <is>
          <t>Preparatoria</t>
        </is>
      </c>
      <c r="D9" t="inlineStr" s="0">
        <is>
          <t>Fernanda Aguilar</t>
        </is>
      </c>
      <c r="E9" t="inlineStr" s="0">
        <is>
          <t/>
        </is>
      </c>
      <c r="F9" t="inlineStr" s="0">
        <is>
          <t/>
        </is>
      </c>
      <c r="G9" t="inlineStr" s="0">
        <is>
          <t>91607868</t>
        </is>
      </c>
      <c r="H9" s="2">
        <v>10300.0</v>
      </c>
      <c r="I9" s="2">
        <f>SUMIFS(Diario!$G$2:$G$400,Diario!$E$2:$E$400,"4101 - Inscripciones",Diario!$D$2:$D$400,"*"&amp;$B9&amp;"*")</f>
        <v>5150.0</v>
      </c>
      <c r="J9" s="3">
        <v>6300.0</v>
      </c>
      <c r="K9" t="inlineStr" s="0">
        <is>
          <t>Abril</t>
        </is>
      </c>
      <c r="L9" s="2">
        <f>SUMIFS(Diario!$G$2:$G$400,Diario!$D$2:$D$400,"*"&amp;$B9&amp;"*",Diario!$E$2:$E$400,"4102*",Diario!$C$2:$C$400,L$1)</f>
        <v>0</v>
      </c>
      <c r="M9" s="2">
        <f>SUMIFS(Diario!$G$2:$G$400,Diario!$D$2:$D$400,"*"&amp;$B9&amp;"*",Diario!$E$2:$E$400,"4102*",Diario!$C$2:$C$400,M$1)</f>
        <v>0</v>
      </c>
      <c r="N9" s="2">
        <f>SUMIFS(Diario!$G$2:$G$400,Diario!$D$2:$D$400,"*"&amp;$B9&amp;"*",Diario!$E$2:$E$400,"4102*",Diario!$C$2:$C$400,N$1)</f>
        <v>0</v>
      </c>
      <c r="O9" s="2">
        <f>SUMIFS(Diario!$G$2:$G$400,Diario!$D$2:$D$400,"*"&amp;$B9&amp;"*",Diario!$E$2:$E$400,"4102*",Diario!$C$2:$C$400,O$1)</f>
        <v>6300.0</v>
      </c>
      <c r="P9" s="2">
        <f>SUMIFS(Diario!$G$2:$G$400,Diario!$D$2:$D$400,"*"&amp;$B9&amp;"*",Diario!$E$2:$E$400,"4102*",Diario!$C$2:$C$400,P$1)</f>
        <v>6300.0</v>
      </c>
      <c r="Q9" s="2">
        <f>SUMIFS(Diario!$G$2:$G$400,Diario!$D$2:$D$400,"*"&amp;$B9&amp;"*",Diario!$E$2:$E$400,"4102*",Diario!$C$2:$C$400,Q$1)</f>
        <v>6300.0</v>
      </c>
      <c r="R9" s="2">
        <f>SUMIFS(Diario!$G$2:$G$400,Diario!$D$2:$D$400,"*"&amp;$B9&amp;"*",Diario!$E$2:$E$400,"4102*",Diario!$C$2:$C$400,R$1)</f>
        <v>0</v>
      </c>
      <c r="S9" s="2">
        <f>SUMIFS(Diario!$G$2:$G$400,Diario!$D$2:$D$400,"*"&amp;$B9&amp;"*",Diario!$E$2:$E$400,"4102*",Diario!$C$2:$C$400,S$1)</f>
        <v>12600.0</v>
      </c>
      <c r="T9" s="2">
        <f>SUMIFS(Diario!$G$2:$G$400,Diario!$D$2:$D$400,"*"&amp;$B9&amp;"*",Diario!$E$2:$E$400,"4102*",Diario!$C$2:$C$400,T$1)</f>
        <v>6300.0</v>
      </c>
      <c r="U9" s="2">
        <f>SUMIFS(Diario!$G$2:$G$400,Diario!$D$2:$D$400,"*"&amp;$B9&amp;"*",Diario!$E$2:$E$400,"4102*",Diario!$C$2:$C$400,U$1)</f>
        <v>0</v>
      </c>
      <c r="V9" s="2">
        <f>SUMIFS(Diario!$G$2:$G$400,Diario!$D$2:$D$400,"*"&amp;$B9&amp;"*",Diario!$E$2:$E$400,"4102*",Diario!$C$2:$C$400,V$1)</f>
        <v>0</v>
      </c>
      <c r="W9" s="2">
        <f>SUMIFS(Diario!$G$2:$G$400,Diario!$D$2:$D$400,"*"&amp;$B9&amp;"*",Diario!$E$2:$E$400,"4102*",Diario!$C$2:$C$400,W$1)</f>
        <v>0</v>
      </c>
      <c r="X9" s="3">
        <f>SUM(L9:W9)</f>
        <v>37800.0</v>
      </c>
      <c r="Y9" s="7">
        <f>IF(J9=0,0,MAX(0,(J9*7)-X9))</f>
        <v>6300.0</v>
      </c>
      <c r="Z9" s="2">
        <f>SUMIFS(Diario!$G$2:$G$400,Diario!$E$2:$E$400,"2107 - Anticipo de inscripciones",Diario!$D$2:$D$400,"*"&amp;$B9&amp;"*")</f>
        <v>0</v>
      </c>
      <c r="AA9" t="str" s="0">
        <f>IF(J9=0,"Retirado",IF(Y9&lt;=1,"✅ Al Día","⚠️ Pendiente Octubre"))</f>
        <v>⚠️ Pendiente Octubre</v>
      </c>
    </row>
    <row r="10">
      <c r="A10" t="inlineStr" s="0">
        <is>
          <t>FAM_009_26SM</t>
        </is>
      </c>
      <c r="B10" t="inlineStr" s="0">
        <is>
          <t>Santiago Matta</t>
        </is>
      </c>
      <c r="C10" t="inlineStr" s="0">
        <is>
          <t>Kinder</t>
        </is>
      </c>
      <c r="D10" t="inlineStr" s="0">
        <is>
          <t>Familia Matta</t>
        </is>
      </c>
      <c r="E10" t="inlineStr" s="0">
        <is>
          <t/>
        </is>
      </c>
      <c r="F10" t="inlineStr" s="0">
        <is>
          <t/>
        </is>
      </c>
      <c r="G10" t="inlineStr" s="0">
        <is>
          <t>CF</t>
        </is>
      </c>
      <c r="H10" s="2">
        <v>10300.0</v>
      </c>
      <c r="I10" s="2">
        <f>SUMIFS(Diario!$G$2:$G$400,Diario!$E$2:$E$400,"4101 - Inscripciones",Diario!$D$2:$D$400,"*"&amp;$B10&amp;"*")</f>
        <v>0</v>
      </c>
      <c r="J10" s="3">
        <v>0.0</v>
      </c>
      <c r="K10" t="inlineStr" s="0">
        <is>
          <t>Enero</t>
        </is>
      </c>
      <c r="L10" s="2">
        <f>SUMIFS(Diario!$G$2:$G$400,Diario!$D$2:$D$400,"*"&amp;$B10&amp;"*",Diario!$E$2:$E$400,"4102*",Diario!$C$2:$C$400,L$1)</f>
        <v>0</v>
      </c>
      <c r="M10" s="2">
        <f>SUMIFS(Diario!$G$2:$G$400,Diario!$D$2:$D$400,"*"&amp;$B10&amp;"*",Diario!$E$2:$E$400,"4102*",Diario!$C$2:$C$400,M$1)</f>
        <v>0</v>
      </c>
      <c r="N10" s="2">
        <f>SUMIFS(Diario!$G$2:$G$400,Diario!$D$2:$D$400,"*"&amp;$B10&amp;"*",Diario!$E$2:$E$400,"4102*",Diario!$C$2:$C$400,N$1)</f>
        <v>0</v>
      </c>
      <c r="O10" s="2">
        <f>SUMIFS(Diario!$G$2:$G$400,Diario!$D$2:$D$400,"*"&amp;$B10&amp;"*",Diario!$E$2:$E$400,"4102*",Diario!$C$2:$C$400,O$1)</f>
        <v>0</v>
      </c>
      <c r="P10" s="2">
        <f>SUMIFS(Diario!$G$2:$G$400,Diario!$D$2:$D$400,"*"&amp;$B10&amp;"*",Diario!$E$2:$E$400,"4102*",Diario!$C$2:$C$400,P$1)</f>
        <v>0</v>
      </c>
      <c r="Q10" s="2">
        <f>SUMIFS(Diario!$G$2:$G$400,Diario!$D$2:$D$400,"*"&amp;$B10&amp;"*",Diario!$E$2:$E$400,"4102*",Diario!$C$2:$C$400,Q$1)</f>
        <v>0</v>
      </c>
      <c r="R10" s="2">
        <f>SUMIFS(Diario!$G$2:$G$400,Diario!$D$2:$D$400,"*"&amp;$B10&amp;"*",Diario!$E$2:$E$400,"4102*",Diario!$C$2:$C$400,R$1)</f>
        <v>0</v>
      </c>
      <c r="S10" s="2">
        <f>SUMIFS(Diario!$G$2:$G$400,Diario!$D$2:$D$400,"*"&amp;$B10&amp;"*",Diario!$E$2:$E$400,"4102*",Diario!$C$2:$C$400,S$1)</f>
        <v>0</v>
      </c>
      <c r="T10" s="2">
        <f>SUMIFS(Diario!$G$2:$G$400,Diario!$D$2:$D$400,"*"&amp;$B10&amp;"*",Diario!$E$2:$E$400,"4102*",Diario!$C$2:$C$400,T$1)</f>
        <v>0</v>
      </c>
      <c r="U10" s="2">
        <f>SUMIFS(Diario!$G$2:$G$400,Diario!$D$2:$D$400,"*"&amp;$B10&amp;"*",Diario!$E$2:$E$400,"4102*",Diario!$C$2:$C$400,U$1)</f>
        <v>0</v>
      </c>
      <c r="V10" s="2">
        <f>SUMIFS(Diario!$G$2:$G$400,Diario!$D$2:$D$400,"*"&amp;$B10&amp;"*",Diario!$E$2:$E$400,"4102*",Diario!$C$2:$C$400,V$1)</f>
        <v>0</v>
      </c>
      <c r="W10" s="2">
        <f>SUMIFS(Diario!$G$2:$G$400,Diario!$D$2:$D$400,"*"&amp;$B10&amp;"*",Diario!$E$2:$E$400,"4102*",Diario!$C$2:$C$400,W$1)</f>
        <v>0</v>
      </c>
      <c r="X10" s="3">
        <f>SUM(L10:W10)</f>
        <v>0.0</v>
      </c>
      <c r="Y10" s="2">
        <f>IF(J10=0,0,MAX(0,(J10*10)-X10))</f>
        <v>0.0</v>
      </c>
      <c r="Z10" s="7">
        <f>SUMIFS(Diario!$G$2:$G$400,Diario!$E$2:$E$400,"2107 - Anticipo de inscripciones",Diario!$D$2:$D$400,"*"&amp;$B10&amp;"*")</f>
        <v>4000.0</v>
      </c>
      <c r="AA10" t="str" s="0">
        <f>IF(J10=0,"Retirado",IF(Y10&lt;=1,"✅ Al Día","⚠️ Pendiente Octubre"))</f>
        <v>Retirado</v>
      </c>
    </row>
    <row r="11" ht="21" customHeight="1">
      <c r="A11" t="inlineStr" s="6">
        <is>
          <t>TOTALES</t>
        </is>
      </c>
      <c r="B11" t="str" s="6">
        <f>COUNTA(B2:B10)&amp;" Estudiantes"</f>
        <v>9 Estudiantes</v>
      </c>
      <c r="C11" t="inlineStr" s="6">
        <is>
          <t/>
        </is>
      </c>
      <c r="D11" t="inlineStr" s="6">
        <is>
          <t/>
        </is>
      </c>
      <c r="E11" t="inlineStr" s="6">
        <is>
          <t/>
        </is>
      </c>
      <c r="F11" t="inlineStr" s="6">
        <is>
          <t/>
        </is>
      </c>
      <c r="G11" t="inlineStr" s="6">
        <is>
          <t/>
        </is>
      </c>
      <c r="H11" s="5">
        <f>SUM(H2:H10)</f>
        <v>0</v>
      </c>
      <c r="I11" s="5">
        <f>SUM(I2:I10)</f>
        <v>0</v>
      </c>
      <c r="J11" s="5">
        <f>SUM(J2:J10)</f>
        <v>0</v>
      </c>
      <c r="K11" t="inlineStr" s="6">
        <is>
          <t/>
        </is>
      </c>
      <c r="L11" s="5">
        <f>SUM(L2:L10)</f>
        <v>0</v>
      </c>
      <c r="M11" s="5">
        <f>SUM(M2:M10)</f>
        <v>0</v>
      </c>
      <c r="N11" s="5">
        <f>SUM(N2:N10)</f>
        <v>0</v>
      </c>
      <c r="O11" s="5">
        <f>SUM(O2:O10)</f>
        <v>0</v>
      </c>
      <c r="P11" s="5">
        <f>SUM(P2:P10)</f>
        <v>0</v>
      </c>
      <c r="Q11" s="5">
        <f>SUM(Q2:Q10)</f>
        <v>0</v>
      </c>
      <c r="R11" s="5">
        <f>SUM(R2:R10)</f>
        <v>0</v>
      </c>
      <c r="S11" s="5">
        <f>SUM(S2:S10)</f>
        <v>0</v>
      </c>
      <c r="T11" s="5">
        <f>SUM(T2:T10)</f>
        <v>0</v>
      </c>
      <c r="U11" s="5">
        <f>SUM(U2:U10)</f>
        <v>0</v>
      </c>
      <c r="V11" s="5">
        <f>SUM(V2:V10)</f>
        <v>0</v>
      </c>
      <c r="W11" s="5">
        <f>SUM(W2:W10)</f>
        <v>0</v>
      </c>
      <c r="X11" s="5">
        <f>SUM(X2:X10)</f>
        <v>0</v>
      </c>
      <c r="Y11" s="5">
        <f>SUM(Y2:Y10)</f>
        <v>0</v>
      </c>
      <c r="Z11" s="5">
        <f>SUM(Z2:Z10)</f>
        <v>0</v>
      </c>
      <c r="AA11" t="inlineStr" s="6">
        <is>
          <t/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6" customWidth="1"/>
    <col min="2" max="2" width="18" customWidth="1"/>
    <col min="3" max="3" width="14" customWidth="1"/>
    <col min="4" max="4" width="15" customWidth="1"/>
    <col min="5" max="5" width="18" customWidth="1"/>
    <col min="6" max="6" width="16" customWidth="1"/>
    <col min="7" max="7" width="16" customWidth="1"/>
    <col min="8" max="8" width="15" customWidth="1"/>
    <col min="9" max="9" width="18" customWidth="1"/>
    <col min="10" max="10" width="18" customWidth="1"/>
    <col min="11" max="11" width="18" customWidth="1"/>
    <col min="12" max="12" width="18" customWidth="1"/>
    <col min="13" max="13" width="18" customWidth="1"/>
    <col min="14" max="14" width="22" customWidth="1"/>
  </cols>
  <sheetData>
    <row r="1" ht="22" customHeight="1">
      <c r="A1" t="inlineStr" s="1">
        <is>
          <t>Nombre Completo</t>
        </is>
      </c>
      <c r="B1" t="inlineStr" s="1">
        <is>
          <t>Puesto</t>
        </is>
      </c>
      <c r="C1" t="inlineStr" s="1">
        <is>
          <t>Fecha Ingreso</t>
        </is>
      </c>
      <c r="D1" t="inlineStr" s="1">
        <is>
          <t>Sueldo Base (Q)</t>
        </is>
      </c>
      <c r="E1" t="inlineStr" s="1">
        <is>
          <t>Bonificación Decreto 37-2001 (Q)</t>
        </is>
      </c>
      <c r="F1" t="inlineStr" s="1">
        <is>
          <t>Total Devengado (Q)</t>
        </is>
      </c>
      <c r="G1" t="inlineStr" s="1">
        <is>
          <t>IGSS Laboral 4.83% (Q)</t>
        </is>
      </c>
      <c r="H1" t="inlineStr" s="1">
        <is>
          <t>ISR Retenido (Q)</t>
        </is>
      </c>
      <c r="I1" t="inlineStr" s="1">
        <is>
          <t>Líquido a Recibir Día 27 (Q)</t>
        </is>
      </c>
      <c r="J1" t="inlineStr" s="1">
        <is>
          <t>IGSS Patronal 10.67% (Q)</t>
        </is>
      </c>
      <c r="K1" t="inlineStr" s="1">
        <is>
          <t>Reserva Aguinaldo 8.33% (Q)</t>
        </is>
      </c>
      <c r="L1" t="inlineStr" s="1">
        <is>
          <t>Reserva Bono 14 8.33% (Q)</t>
        </is>
      </c>
      <c r="M1" t="inlineStr" s="1">
        <is>
          <t>Reserva Indemnización 8.33% (Q)</t>
        </is>
      </c>
      <c r="N1" t="inlineStr" s="1">
        <is>
          <t>Cuenta Bancaria Pago</t>
        </is>
      </c>
    </row>
    <row r="2">
      <c r="A2" t="inlineStr" s="0">
        <is>
          <t>Lucía Montes</t>
        </is>
      </c>
      <c r="B2" t="inlineStr" s="0">
        <is>
          <t>Directora</t>
        </is>
      </c>
      <c r="C2" t="inlineStr" s="0">
        <is>
          <t>2026-01-15</t>
        </is>
      </c>
      <c r="D2" s="2">
        <v>9000.0</v>
      </c>
      <c r="E2" s="2">
        <v>250.0</v>
      </c>
      <c r="F2" s="3">
        <f>ROUND(D2+E2,2)</f>
        <v>9250.0</v>
      </c>
      <c r="G2" s="2">
        <f>ROUND(D2*0.0483,2)</f>
        <v>434.7</v>
      </c>
      <c r="H2" s="2">
        <v>240.76</v>
      </c>
      <c r="I2" s="5">
        <f>ROUND(F2-G2-H2,2)</f>
        <v>8574.54</v>
      </c>
      <c r="J2" s="2">
        <f>ROUND(D2*0.1067,2)</f>
        <v>960.3</v>
      </c>
      <c r="K2" s="2">
        <f>ROUND(D2*0.0833,2)</f>
        <v>749.7</v>
      </c>
      <c r="L2" s="2">
        <f>ROUND(D2*0.0833,2)</f>
        <v>749.7</v>
      </c>
      <c r="M2" s="2">
        <f>ROUND(D2*0.0833,2)</f>
        <v>749.7</v>
      </c>
      <c r="N2" t="inlineStr" s="0">
        <is>
          <t>BI Monetaria</t>
        </is>
      </c>
    </row>
    <row r="3">
      <c r="A3" t="inlineStr" s="0">
        <is>
          <t>Jessica Gudiel</t>
        </is>
      </c>
      <c r="B3" t="inlineStr" s="0">
        <is>
          <t>Supervisora</t>
        </is>
      </c>
      <c r="C3" t="inlineStr" s="0">
        <is>
          <t>2026-01-15</t>
        </is>
      </c>
      <c r="D3" s="2">
        <v>6000.0</v>
      </c>
      <c r="E3" s="2">
        <v>250.0</v>
      </c>
      <c r="F3" s="3">
        <f>ROUND(D3+E3,2)</f>
        <v>6250.0</v>
      </c>
      <c r="G3" s="2">
        <f>ROUND(D3*0.0483,2)</f>
        <v>289.8</v>
      </c>
      <c r="H3" s="2">
        <v>98.01</v>
      </c>
      <c r="I3" s="5">
        <f>ROUND(F3-G3-H3,2)</f>
        <v>5862.19</v>
      </c>
      <c r="J3" s="2">
        <f>ROUND(D3*0.1067,2)</f>
        <v>640.2</v>
      </c>
      <c r="K3" s="2">
        <f>ROUND(D3*0.0833,2)</f>
        <v>499.8</v>
      </c>
      <c r="L3" s="2">
        <f>ROUND(D3*0.0833,2)</f>
        <v>499.8</v>
      </c>
      <c r="M3" s="2">
        <f>ROUND(D3*0.0833,2)</f>
        <v>499.8</v>
      </c>
      <c r="N3" t="inlineStr" s="0">
        <is>
          <t>BAC 968940841</t>
        </is>
      </c>
    </row>
    <row r="4">
      <c r="A4" t="inlineStr" s="0">
        <is>
          <t>Geovanna Velázquez</t>
        </is>
      </c>
      <c r="B4" t="inlineStr" s="0">
        <is>
          <t>Maestra</t>
        </is>
      </c>
      <c r="C4" t="inlineStr" s="0">
        <is>
          <t>2026-01-15</t>
        </is>
      </c>
      <c r="D4" s="2">
        <v>4200.0</v>
      </c>
      <c r="E4" s="2">
        <v>250.0</v>
      </c>
      <c r="F4" s="3">
        <f>ROUND(D4+E4,2)</f>
        <v>4450.0</v>
      </c>
      <c r="G4" s="2">
        <f>ROUND(D4*0.0483,2)</f>
        <v>202.86</v>
      </c>
      <c r="H4" s="2">
        <v>12.36</v>
      </c>
      <c r="I4" s="5">
        <f>ROUND(F4-G4-H4,2)</f>
        <v>4234.78</v>
      </c>
      <c r="J4" s="2">
        <f>ROUND(D4*0.1067,2)</f>
        <v>448.14</v>
      </c>
      <c r="K4" s="2">
        <f>ROUND(D4*0.0833,2)</f>
        <v>349.86</v>
      </c>
      <c r="L4" s="2">
        <f>ROUND(D4*0.0833,2)</f>
        <v>349.86</v>
      </c>
      <c r="M4" s="2">
        <f>ROUND(D4*0.0833,2)</f>
        <v>349.86</v>
      </c>
      <c r="N4" t="inlineStr" s="0">
        <is>
          <t>BAC 970632956</t>
        </is>
      </c>
    </row>
    <row r="5">
      <c r="A5" t="inlineStr" s="0">
        <is>
          <t>Suly Sajbochol</t>
        </is>
      </c>
      <c r="B5" t="inlineStr" s="0">
        <is>
          <t>Terapeuta</t>
        </is>
      </c>
      <c r="C5" t="inlineStr" s="0">
        <is>
          <t>2026-01-15</t>
        </is>
      </c>
      <c r="D5" s="2">
        <v>4200.0</v>
      </c>
      <c r="E5" s="2">
        <v>250.0</v>
      </c>
      <c r="F5" s="3">
        <f>ROUND(D5+E5,2)</f>
        <v>4450.0</v>
      </c>
      <c r="G5" s="2">
        <f>ROUND(D5*0.0483,2)</f>
        <v>202.86</v>
      </c>
      <c r="H5" s="2">
        <v>12.36</v>
      </c>
      <c r="I5" s="5">
        <f>ROUND(F5-G5-H5,2)</f>
        <v>4234.78</v>
      </c>
      <c r="J5" s="2">
        <f>ROUND(D5*0.1067,2)</f>
        <v>448.14</v>
      </c>
      <c r="K5" s="2">
        <f>ROUND(D5*0.0833,2)</f>
        <v>349.86</v>
      </c>
      <c r="L5" s="2">
        <f>ROUND(D5*0.0833,2)</f>
        <v>349.86</v>
      </c>
      <c r="M5" s="2">
        <f>ROUND(D5*0.0833,2)</f>
        <v>349.86</v>
      </c>
      <c r="N5" t="inlineStr" s="0">
        <is>
          <t>BAC 971647599</t>
        </is>
      </c>
    </row>
    <row r="6">
      <c r="A6" t="inlineStr" s="0">
        <is>
          <t>Melissa Peña</t>
        </is>
      </c>
      <c r="B6" t="inlineStr" s="0">
        <is>
          <t>Asistente</t>
        </is>
      </c>
      <c r="C6" t="inlineStr" s="0">
        <is>
          <t>2026-01-15</t>
        </is>
      </c>
      <c r="D6" s="2">
        <v>4200.0</v>
      </c>
      <c r="E6" s="2">
        <v>250.0</v>
      </c>
      <c r="F6" s="3">
        <f>ROUND(D6+E6,2)</f>
        <v>4450.0</v>
      </c>
      <c r="G6" s="2">
        <f>ROUND(D6*0.0483,2)</f>
        <v>202.86</v>
      </c>
      <c r="H6" s="2">
        <v>12.36</v>
      </c>
      <c r="I6" s="5">
        <f>ROUND(F6-G6-H6,2)</f>
        <v>4234.78</v>
      </c>
      <c r="J6" s="2">
        <f>ROUND(D6*0.1067,2)</f>
        <v>448.14</v>
      </c>
      <c r="K6" s="2">
        <f>ROUND(D6*0.0833,2)</f>
        <v>349.86</v>
      </c>
      <c r="L6" s="2">
        <f>ROUND(D6*0.0833,2)</f>
        <v>349.86</v>
      </c>
      <c r="M6" s="2">
        <f>ROUND(D6*0.0833,2)</f>
        <v>349.86</v>
      </c>
      <c r="N6" t="inlineStr" s="0">
        <is>
          <t>BAC 972406433</t>
        </is>
      </c>
    </row>
    <row r="7" ht="21" customHeight="1">
      <c r="A7" t="inlineStr" s="6">
        <is>
          <t>TOTAL PLANILLA MENSUAL DÍA 27</t>
        </is>
      </c>
      <c r="B7" t="inlineStr" s="6">
        <is>
          <t>5 Colaboradoras</t>
        </is>
      </c>
      <c r="C7" t="inlineStr" s="6">
        <is>
          <t>Día 27</t>
        </is>
      </c>
      <c r="D7" s="5">
        <f>SUM(D2:D6)</f>
        <v>0</v>
      </c>
      <c r="E7" s="5">
        <f>SUM(E2:E6)</f>
        <v>0</v>
      </c>
      <c r="F7" s="5">
        <f>SUM(F2:F6)</f>
        <v>0</v>
      </c>
      <c r="G7" s="5">
        <f>SUM(G2:G6)</f>
        <v>0</v>
      </c>
      <c r="H7" s="5">
        <f>SUM(H2:H6)</f>
        <v>0</v>
      </c>
      <c r="I7" s="5">
        <f>SUM(I2:I6)</f>
        <v>0</v>
      </c>
      <c r="J7" s="5">
        <f>SUM(J2:J6)</f>
        <v>0</v>
      </c>
      <c r="K7" s="5">
        <f>SUM(K2:K6)</f>
        <v>0</v>
      </c>
      <c r="L7" s="5">
        <f>SUM(L2:L6)</f>
        <v>0</v>
      </c>
      <c r="M7" s="5">
        <f>SUM(M2:M6)</f>
        <v>0</v>
      </c>
      <c r="N7" t="inlineStr" s="6">
        <is>
          <t/>
        </is>
      </c>
    </row>
    <row r="9" ht="20" customHeight="1">
      <c r="A9" t="inlineStr" s="1">
        <is>
          <t>CALENDARIO DE OBLIGACIONES DÍA 27 DE CADA MES</t>
        </is>
      </c>
      <c r="B9" t="inlineStr" s="1">
        <is>
          <t>Monto (Q)</t>
        </is>
      </c>
      <c r="C9" t="inlineStr" s="1">
        <is>
          <t>Partida SAT</t>
        </is>
      </c>
      <c r="D9" t="inlineStr" s="1">
        <is>
          <t>Cuenta Origen/Destino</t>
        </is>
      </c>
      <c r="E9" t="inlineStr" s="1">
        <is>
          <t>Categoría</t>
        </is>
      </c>
    </row>
    <row r="10">
      <c r="A10" t="inlineStr" s="0">
        <is>
          <t>Lucía Montes (Directora - Sueldo Neto)</t>
        </is>
      </c>
      <c r="B10" s="2">
        <v>8574.54</v>
      </c>
      <c r="C10" t="inlineStr" s="0">
        <is>
          <t>5101 - Sueldos y Salarios</t>
        </is>
      </c>
      <c r="D10" t="inlineStr" s="0">
        <is>
          <t>BI- Monetaria</t>
        </is>
      </c>
      <c r="E10" t="inlineStr" s="0">
        <is>
          <t>Nómina</t>
        </is>
      </c>
    </row>
    <row r="11">
      <c r="A11" t="inlineStr" s="0">
        <is>
          <t>Jessica Gudiel (Supervisora - Sueldo Neto)</t>
        </is>
      </c>
      <c r="B11" s="2">
        <v>5862.19</v>
      </c>
      <c r="C11" t="inlineStr" s="0">
        <is>
          <t>5101 - Sueldos y Salarios</t>
        </is>
      </c>
      <c r="D11" t="inlineStr" s="0">
        <is>
          <t>BI- Monetaria</t>
        </is>
      </c>
      <c r="E11" t="inlineStr" s="0">
        <is>
          <t>Nómina</t>
        </is>
      </c>
    </row>
    <row r="12">
      <c r="A12" t="inlineStr" s="0">
        <is>
          <t>Geovanna Velázquez (Maestra - Sueldo Neto)</t>
        </is>
      </c>
      <c r="B12" s="2">
        <v>4234.78</v>
      </c>
      <c r="C12" t="inlineStr" s="0">
        <is>
          <t>5101 - Sueldos y Salarios</t>
        </is>
      </c>
      <c r="D12" t="inlineStr" s="0">
        <is>
          <t>BI- Monetaria</t>
        </is>
      </c>
      <c r="E12" t="inlineStr" s="0">
        <is>
          <t>Nómina</t>
        </is>
      </c>
    </row>
    <row r="13">
      <c r="A13" t="inlineStr" s="0">
        <is>
          <t>Suly Sajbochol (Terapeuta - Sueldo Neto)</t>
        </is>
      </c>
      <c r="B13" s="2">
        <v>4234.78</v>
      </c>
      <c r="C13" t="inlineStr" s="0">
        <is>
          <t>5101 - Sueldos y Salarios</t>
        </is>
      </c>
      <c r="D13" t="inlineStr" s="0">
        <is>
          <t>BI- Monetaria</t>
        </is>
      </c>
      <c r="E13" t="inlineStr" s="0">
        <is>
          <t>Nómina</t>
        </is>
      </c>
    </row>
    <row r="14">
      <c r="A14" t="inlineStr" s="0">
        <is>
          <t>Melissa Peña (Asistente - Sueldo Neto)</t>
        </is>
      </c>
      <c r="B14" s="2">
        <v>4234.78</v>
      </c>
      <c r="C14" t="inlineStr" s="0">
        <is>
          <t>5101 - Sueldos y Salarios</t>
        </is>
      </c>
      <c r="D14" t="inlineStr" s="0">
        <is>
          <t>BI- Monetaria</t>
        </is>
      </c>
      <c r="E14" t="inlineStr" s="0">
        <is>
          <t>Nómina</t>
        </is>
      </c>
    </row>
    <row r="15">
      <c r="A15" t="inlineStr" s="0">
        <is>
          <t>Traslado Mensual a Cuenta de Ahorro (Provisiones + IGSS)</t>
        </is>
      </c>
      <c r="B15" s="2">
        <v>11551.09</v>
      </c>
      <c r="C15" t="inlineStr" s="0">
        <is>
          <t>2102 - Provisiones Laborales</t>
        </is>
      </c>
      <c r="D15" t="inlineStr" s="0">
        <is>
          <t>BI- Monetaria -&gt; BI-Ahorro</t>
        </is>
      </c>
      <c r="E15" t="inlineStr" s="0">
        <is>
          <t>Traspaso Ahorro</t>
        </is>
      </c>
    </row>
    <row r="16">
      <c r="A16" t="inlineStr" s="0">
        <is>
          <t>Pago Planilla IGSS (Patronal 10.67% + Laboral 4.83%)</t>
        </is>
      </c>
      <c r="B16" s="2">
        <v>4278.0</v>
      </c>
      <c r="C16" t="inlineStr" s="0">
        <is>
          <t>2103 - IGSS por Pagar</t>
        </is>
      </c>
      <c r="D16" t="inlineStr" s="0">
        <is>
          <t>BI-Ahorro</t>
        </is>
      </c>
      <c r="E16" t="inlineStr" s="0">
        <is>
          <t>Desde Ahorro</t>
        </is>
      </c>
    </row>
    <row r="17">
      <c r="A17" t="inlineStr" s="0">
        <is>
          <t>Pago ISR Retenciones Empleados SAT</t>
        </is>
      </c>
      <c r="B17" s="2">
        <v>375.85</v>
      </c>
      <c r="C17" t="inlineStr" s="0">
        <is>
          <t>2105 - ISR Retenciones por Pagar</t>
        </is>
      </c>
      <c r="D17" t="inlineStr" s="0">
        <is>
          <t>BI- Monetaria</t>
        </is>
      </c>
      <c r="E17" t="inlineStr" s="0">
        <is>
          <t>Impuesto Retenido</t>
        </is>
      </c>
    </row>
    <row r="18">
      <c r="A18" t="inlineStr" s="0">
        <is>
          <t>Donación Mensual Fundación Waybi</t>
        </is>
      </c>
      <c r="B18" s="2">
        <v>1700.0</v>
      </c>
      <c r="C18" t="inlineStr" s="0">
        <is>
          <t>5208 - Donaciones</t>
        </is>
      </c>
      <c r="D18" t="inlineStr" s="0">
        <is>
          <t>BI- Monetaria</t>
        </is>
      </c>
      <c r="E18" t="inlineStr" s="0">
        <is>
          <t>Recurrente</t>
        </is>
      </c>
    </row>
    <row r="19">
      <c r="A19" t="inlineStr" s="0">
        <is>
          <t>Honorarios RRSS Isa González</t>
        </is>
      </c>
      <c r="B19" s="2">
        <v>1600.0</v>
      </c>
      <c r="C19" t="inlineStr" s="0">
        <is>
          <t>5209 - Honorarios profesionales</t>
        </is>
      </c>
      <c r="D19" t="inlineStr" s="0">
        <is>
          <t>BI- Monetaria</t>
        </is>
      </c>
      <c r="E19" t="inlineStr" s="0">
        <is>
          <t>Honorarios</t>
        </is>
      </c>
    </row>
    <row r="20">
      <c r="A20" t="inlineStr" s="0">
        <is>
          <t>Gestión Papelería Lourdes Escribá</t>
        </is>
      </c>
      <c r="B20" s="2">
        <v>1454.0</v>
      </c>
      <c r="C20" t="inlineStr" s="0">
        <is>
          <t>5209 - Honorarios profesionales</t>
        </is>
      </c>
      <c r="D20" t="inlineStr" s="0">
        <is>
          <t>BI- Monetaria</t>
        </is>
      </c>
      <c r="E20" t="inlineStr" s="0">
        <is>
          <t>Honorarios</t>
        </is>
      </c>
    </row>
    <row r="21">
      <c r="A21" t="inlineStr" s="0">
        <is>
          <t>Honorarios Contabilidad Sergio Contador</t>
        </is>
      </c>
      <c r="B21" s="2">
        <v>350.0</v>
      </c>
      <c r="C21" t="inlineStr" s="0">
        <is>
          <t>5209 - Honorarios profesionales</t>
        </is>
      </c>
      <c r="D21" t="inlineStr" s="0">
        <is>
          <t>BI- Monetaria</t>
        </is>
      </c>
      <c r="E21" t="inlineStr" s="0">
        <is>
          <t>Honorarios</t>
        </is>
      </c>
    </row>
    <row r="22">
      <c r="A22" t="inlineStr" s="0">
        <is>
          <t>Plan Celular e Internet ALTUS</t>
        </is>
      </c>
      <c r="B22" s="2">
        <v>285.0</v>
      </c>
      <c r="C22" t="inlineStr" s="0">
        <is>
          <t>5212 - Telecomunicaciones e internet</t>
        </is>
      </c>
      <c r="D22" t="inlineStr" s="0">
        <is>
          <t>BI- Monetaria</t>
        </is>
      </c>
      <c r="E22" t="inlineStr" s="0">
        <is>
          <t>Servicios</t>
        </is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4" customWidth="1"/>
    <col min="2" max="2" width="28" customWidth="1"/>
    <col min="3" max="3" width="28" customWidth="1"/>
    <col min="4" max="4" width="28" customWidth="1"/>
    <col min="5" max="5" width="24" customWidth="1"/>
    <col min="6" max="6" width="24" customWidth="1"/>
    <col min="7" max="7" width="26" customWidth="1"/>
    <col min="8" max="8" width="65" customWidth="1"/>
  </cols>
  <sheetData>
    <row r="1" ht="22" customHeight="1">
      <c r="A1" t="inlineStr" s="1">
        <is>
          <t>Mes</t>
        </is>
      </c>
      <c r="B1" t="inlineStr" s="1">
        <is>
          <t>Saldo Libro BI-Monetaria Sin Intereses (Q)</t>
        </is>
      </c>
      <c r="C1" t="inlineStr" s="1">
        <is>
          <t>Saldo Extracto Banco Industrial 2061406126 (Q)</t>
        </is>
      </c>
      <c r="D1" t="inlineStr" s="1">
        <is>
          <t>Intereses Acumulados en Extracto BI (Q)</t>
        </is>
      </c>
      <c r="E1" t="inlineStr" s="1">
        <is>
          <t>Saldo Real Cuenta Monetaria Conciliado (Q)</t>
        </is>
      </c>
      <c r="F1" t="inlineStr" s="1">
        <is>
          <t>Saldo Acumulado BI-Ahorro (Q)</t>
        </is>
      </c>
      <c r="G1" t="inlineStr" s="1">
        <is>
          <t>Estado Auditoría</t>
        </is>
      </c>
      <c r="H1" t="inlineStr" s="1">
        <is>
          <t>Detalle de Conciliación Bancaria</t>
        </is>
      </c>
    </row>
    <row r="2">
      <c r="A2" t="inlineStr" s="0">
        <is>
          <t>enero</t>
        </is>
      </c>
      <c r="B2" s="3">
        <f>ROUND(SUMIFS(Diario!$G$2:$G$400,Diario!$C$2:$C$400,$A2,Diario!$J$2:$J$400,"BI- Monetaria",Diario!$F$2:$F$400,"&lt;&gt;Gasto")-SUMIFS(Diario!$G$2:$G$400,Diario!$C$2:$C$400,$A2,Diario!$J$2:$J$400,"BI- Monetaria",Diario!$F$2:$F$400,"Gasto"),2)</f>
        <v>55007.74</v>
      </c>
      <c r="C2" s="3">
        <v>55019.75</v>
      </c>
      <c r="D2" s="2">
        <f>ROUND(C2-B2,2)</f>
        <v>12.01</v>
      </c>
      <c r="E2" s="5">
        <f>ROUND(B2+D2,2)</f>
        <v>55019.75</v>
      </c>
      <c r="F2" s="3">
        <f>ROUND(SUMIFS(Diario!$G$2:$G$400,Diario!$C$2:$C$400,$A2,Diario!$E$2:$E$400,"2102 - Provisiones Laborales")-SUMIFS(Diario!$G$2:$G$400,Diario!$C$2:$C$400,$A2,Diario!$J$2:$J$400,"BI-Ahorro"),2)</f>
        <v>9189.57</v>
      </c>
      <c r="G2" t="str" s="6">
        <f>IF(ROUND(E2-C2,2)=0,"✅ Conciliado (Dif = Intereses)","🚫 Revisar")</f>
        <v>✅ Conciliado (Dif = Intereses)</v>
      </c>
      <c r="H2" t="inlineStr" s="0">
        <is>
          <t>Diferencia por intereses bancarios enero (+Q27.01) menos comisión BiCheque (-Q15.00).</t>
        </is>
      </c>
    </row>
    <row r="3">
      <c r="A3" t="inlineStr" s="0">
        <is>
          <t>febrero</t>
        </is>
      </c>
      <c r="B3" s="3">
        <f>ROUND(B2+SUMIFS(Diario!$G$2:$G$400,Diario!$C$2:$C$400,$A3,Diario!$J$2:$J$400,"BI- Monetaria",Diario!$F$2:$F$400,"&lt;&gt;Gasto")-SUMIFS(Diario!$G$2:$G$400,Diario!$C$2:$C$400,$A3,Diario!$J$2:$J$400,"BI- Monetaria",Diario!$F$2:$F$400,"Gasto"),2)</f>
        <v>54181.74</v>
      </c>
      <c r="C3" s="3">
        <v>54173.57</v>
      </c>
      <c r="D3" s="2">
        <f>ROUND(C3-B3,2)</f>
        <v>-8.17</v>
      </c>
      <c r="E3" s="5">
        <f>ROUND(B3+D3,2)</f>
        <v>54173.57</v>
      </c>
      <c r="F3" s="3">
        <f>ROUND(F2+SUMIFS(Diario!$G$2:$G$400,Diario!$C$2:$C$400,$A3,Diario!$E$2:$E$400,"2102 - Provisiones Laborales")-SUMIFS(Diario!$G$2:$G$400,Diario!$C$2:$C$400,$A3,Diario!$J$2:$J$400,"BI-Ahorro"),2)</f>
        <v>18346.49</v>
      </c>
      <c r="G3" t="str" s="6">
        <f>IF(ROUND(E3-C3,2)=0,"✅ Conciliado (Dif = Intereses)","🚫 Revisar")</f>
        <v>✅ Conciliado (Dif = Intereses)</v>
      </c>
      <c r="H3" t="inlineStr" s="0">
        <is>
          <t>Diferencia acumulada por intereses bancarios y comisión BiCheque feb.</t>
        </is>
      </c>
    </row>
    <row r="4">
      <c r="A4" t="inlineStr" s="0">
        <is>
          <t>marzo</t>
        </is>
      </c>
      <c r="B4" s="3">
        <f>ROUND(B3+SUMIFS(Diario!$G$2:$G$400,Diario!$C$2:$C$400,$A4,Diario!$J$2:$J$400,"BI- Monetaria",Diario!$F$2:$F$400,"&lt;&gt;Gasto")-SUMIFS(Diario!$G$2:$G$400,Diario!$C$2:$C$400,$A4,Diario!$J$2:$J$400,"BI- Monetaria",Diario!$F$2:$F$400,"Gasto"),2)</f>
        <v>63305.39</v>
      </c>
      <c r="C4" s="3">
        <v>63341.68</v>
      </c>
      <c r="D4" s="2">
        <f>ROUND(C4-B4,2)</f>
        <v>36.29</v>
      </c>
      <c r="E4" s="5">
        <f>ROUND(B4+D4,2)</f>
        <v>63341.68</v>
      </c>
      <c r="F4" s="3">
        <f>ROUND(F3+SUMIFS(Diario!$G$2:$G$400,Diario!$C$2:$C$400,$A4,Diario!$E$2:$E$400,"2102 - Provisiones Laborales")-SUMIFS(Diario!$G$2:$G$400,Diario!$C$2:$C$400,$A4,Diario!$J$2:$J$400,"BI-Ahorro"),2)</f>
        <v>32758.49</v>
      </c>
      <c r="G4" t="str" s="6">
        <f>IF(ROUND(E4-C4,2)=0,"✅ Conciliado (Dif = Intereses)","🚫 Revisar")</f>
        <v>✅ Conciliado (Dif = Intereses)</v>
      </c>
      <c r="H4" t="inlineStr" s="0">
        <is>
          <t>Diferencia acumulada por intereses bancarios ene-mar.</t>
        </is>
      </c>
    </row>
    <row r="5">
      <c r="A5" t="inlineStr" s="0">
        <is>
          <t>abril</t>
        </is>
      </c>
      <c r="B5" s="3">
        <f>ROUND(B4+SUMIFS(Diario!$G$2:$G$400,Diario!$C$2:$C$400,$A5,Diario!$J$2:$J$400,"BI- Monetaria",Diario!$F$2:$F$400,"&lt;&gt;Gasto")-SUMIFS(Diario!$G$2:$G$400,Diario!$C$2:$C$400,$A5,Diario!$J$2:$J$400,"BI- Monetaria",Diario!$F$2:$F$400,"Gasto"),2)</f>
        <v>70799.0</v>
      </c>
      <c r="C5" s="3">
        <v>70964.22</v>
      </c>
      <c r="D5" s="2">
        <f>ROUND(C5-B5,2)</f>
        <v>165.22</v>
      </c>
      <c r="E5" s="5">
        <f>ROUND(B5+D5,2)</f>
        <v>70964.22</v>
      </c>
      <c r="F5" s="3">
        <f>ROUND(F4+SUMIFS(Diario!$G$2:$G$400,Diario!$C$2:$C$400,$A5,Diario!$E$2:$E$400,"2102 - Provisiones Laborales")-SUMIFS(Diario!$G$2:$G$400,Diario!$C$2:$C$400,$A5,Diario!$J$2:$J$400,"BI-Ahorro"),2)</f>
        <v>44310.49</v>
      </c>
      <c r="G5" t="str" s="6">
        <f>IF(ROUND(E5-C5,2)=0,"✅ Conciliado (Dif = Intereses)","🚫 Revisar")</f>
        <v>✅ Conciliado (Dif = Intereses)</v>
      </c>
      <c r="H5" t="inlineStr" s="0">
        <is>
          <t>Saldo final confirmado en encabezado de extracto BI mayo (Q70,964.22). Dif acumulada = +Q165.22.</t>
        </is>
      </c>
    </row>
    <row r="6">
      <c r="A6" t="inlineStr" s="0">
        <is>
          <t>mayo</t>
        </is>
      </c>
      <c r="B6" s="3">
        <f>ROUND(B5+SUMIFS(Diario!$G$2:$G$400,Diario!$C$2:$C$400,$A6,Diario!$J$2:$J$400,"BI- Monetaria",Diario!$F$2:$F$400,"&lt;&gt;Gasto")-SUMIFS(Diario!$G$2:$G$400,Diario!$C$2:$C$400,$A6,Diario!$J$2:$J$400,"BI- Monetaria",Diario!$F$2:$F$400,"Gasto"),2)</f>
        <v>59634.57</v>
      </c>
      <c r="C6" s="3">
        <v>59837.62</v>
      </c>
      <c r="D6" s="2">
        <f>ROUND(C6-B6,2)</f>
        <v>203.05</v>
      </c>
      <c r="E6" s="5">
        <f>ROUND(B6+D6,2)</f>
        <v>59837.62</v>
      </c>
      <c r="F6" s="3">
        <f>ROUND(F5+SUMIFS(Diario!$G$2:$G$400,Diario!$C$2:$C$400,$A6,Diario!$E$2:$E$400,"2102 - Provisiones Laborales")-SUMIFS(Diario!$G$2:$G$400,Diario!$C$2:$C$400,$A6,Diario!$J$2:$J$400,"BI-Ahorro"),2)</f>
        <v>44242.49</v>
      </c>
      <c r="G6" t="str" s="6">
        <f>IF(ROUND(E6-C6,2)=0,"✅ Conciliado (Dif = Intereses)","🚫 Revisar")</f>
        <v>✅ Conciliado (Dif = Intereses)</v>
      </c>
      <c r="H6" t="inlineStr" s="0">
        <is>
          <t>100% cuadrado con extracto BI mayo (Créditos Op. Q67,163.83 | Débitos Op. Q78,328.26). Dif = Q165.22 abr + Q37.83 intereses mayo = Q203.05.</t>
        </is>
      </c>
    </row>
    <row r="7">
      <c r="A7" t="inlineStr" s="0">
        <is>
          <t>junio</t>
        </is>
      </c>
      <c r="B7" s="3">
        <f>ROUND(B6+SUMIFS(Diario!$G$2:$G$400,Diario!$C$2:$C$400,$A7,Diario!$J$2:$J$400,"BI- Monetaria",Diario!$F$2:$F$400,"&lt;&gt;Gasto")-SUMIFS(Diario!$G$2:$G$400,Diario!$C$2:$C$400,$A7,Diario!$J$2:$J$400,"BI- Monetaria",Diario!$F$2:$F$400,"Gasto"),2)</f>
        <v>63544.87</v>
      </c>
      <c r="C7" s="3">
        <v>63783.56</v>
      </c>
      <c r="D7" s="2">
        <f>ROUND(C7-B7,2)</f>
        <v>238.69</v>
      </c>
      <c r="E7" s="5">
        <f>ROUND(B7+D7,2)</f>
        <v>63783.56</v>
      </c>
      <c r="F7" s="3">
        <f>ROUND(F6+SUMIFS(Diario!$G$2:$G$400,Diario!$C$2:$C$400,$A7,Diario!$E$2:$E$400,"2102 - Provisiones Laborales")-SUMIFS(Diario!$G$2:$G$400,Diario!$C$2:$C$400,$A7,Diario!$J$2:$J$400,"BI-Ahorro"),2)</f>
        <v>28194.49</v>
      </c>
      <c r="G7" t="str" s="6">
        <f>IF(ROUND(E7-C7,2)=0,"✅ Conciliado (Dif = Intereses)","🚫 Revisar")</f>
        <v>✅ Conciliado (Dif = Intereses)</v>
      </c>
      <c r="H7" t="inlineStr" s="0">
        <is>
          <t>100% cuadrado con extracto BI junio (Créditos Op. Q53,504.51 | Débitos Op. Q49,594.21). Dif = Q203.05 mayo + Q35.64 intereses junio = Q238.69.</t>
        </is>
      </c>
    </row>
    <row r="8">
      <c r="A8" t="inlineStr" s="0">
        <is>
          <t>julio</t>
        </is>
      </c>
      <c r="B8" s="3">
        <f>ROUND(B7+SUMIFS(Diario!$G$2:$G$400,Diario!$C$2:$C$400,$A8,Diario!$J$2:$J$400,"BI- Monetaria",Diario!$F$2:$F$400,"&lt;&gt;Gasto")-SUMIFS(Diario!$G$2:$G$400,Diario!$C$2:$C$400,$A8,Diario!$J$2:$J$400,"BI- Monetaria",Diario!$F$2:$F$400,"Gasto"),2)</f>
        <v>74256.07</v>
      </c>
      <c r="C8" s="3">
        <v>74532.51</v>
      </c>
      <c r="D8" s="2">
        <f>ROUND(C8-B8,2)</f>
        <v>276.44</v>
      </c>
      <c r="E8" s="5">
        <f>ROUND(B8+D8,2)</f>
        <v>74532.51</v>
      </c>
      <c r="F8" s="3">
        <f>ROUND(F7+SUMIFS(Diario!$G$2:$G$400,Diario!$C$2:$C$400,$A8,Diario!$E$2:$E$400,"2102 - Provisiones Laborales")-SUMIFS(Diario!$G$2:$G$400,Diario!$C$2:$C$400,$A8,Diario!$J$2:$J$400,"BI-Ahorro"),2)</f>
        <v>39745.58</v>
      </c>
      <c r="G8" t="str" s="6">
        <f>IF(ROUND(E8-C8,2)=0,"✅ Conciliado (Dif = Intereses)","🚫 Revisar")</f>
        <v>✅ Conciliado (Dif = Intereses)</v>
      </c>
      <c r="H8" t="inlineStr" s="0">
        <is>
          <t>100% cuadrado con extracto BI julio (Créditos Op. Q68,155.85 | Débitos Op. Q57,444.65). Dif = Q238.69 jun + Q37.75 intereses julio = Q276.44.</t>
        </is>
      </c>
    </row>
    <row r="9">
      <c r="A9" t="inlineStr" s="0">
        <is>
          <t>agosto</t>
        </is>
      </c>
      <c r="B9" s="3">
        <f>ROUND(B8+SUMIFS(Diario!$G$2:$G$400,Diario!$C$2:$C$400,$A9,Diario!$J$2:$J$400,"BI- Monetaria",Diario!$F$2:$F$400,"&lt;&gt;Gasto")-SUMIFS(Diario!$G$2:$G$400,Diario!$C$2:$C$400,$A9,Diario!$J$2:$J$400,"BI- Monetaria",Diario!$F$2:$F$400,"Gasto"),2)</f>
        <v>50613.95</v>
      </c>
      <c r="C9" s="3">
        <v>50931.57</v>
      </c>
      <c r="D9" s="2">
        <f>ROUND(C9-B9,2)</f>
        <v>317.62</v>
      </c>
      <c r="E9" s="5">
        <f>ROUND(B9+D9,2)</f>
        <v>50931.57</v>
      </c>
      <c r="F9" s="3">
        <f>ROUND(F8+SUMIFS(Diario!$G$2:$G$400,Diario!$C$2:$C$400,$A9,Diario!$E$2:$E$400,"2102 - Provisiones Laborales")-SUMIFS(Diario!$G$2:$G$400,Diario!$C$2:$C$400,$A9,Diario!$J$2:$J$400,"BI-Ahorro"),2)</f>
        <v>81745.58</v>
      </c>
      <c r="G9" t="str" s="6">
        <f>IF(ROUND(E9-C9,2)=0,"✅ Conciliado (Dif = Intereses)","🚫 Revisar")</f>
        <v>✅ Conciliado (Dif = Intereses)</v>
      </c>
      <c r="H9" t="inlineStr" s="0">
        <is>
          <t>100% cuadrado con extracto BI agosto (Créditos Op. Q55,758.34 | Débitos Op. Q79,400.46). Dif = Q276.44 jul + Q41.18 intereses agosto = Q317.62.</t>
        </is>
      </c>
    </row>
    <row r="10">
      <c r="A10" t="inlineStr" s="0">
        <is>
          <t>septiembre</t>
        </is>
      </c>
      <c r="B10" s="3">
        <f>ROUND(B9+SUMIFS(Diario!$G$2:$G$400,Diario!$C$2:$C$400,$A10,Diario!$J$2:$J$400,"BI- Monetaria",Diario!$F$2:$F$400,"&lt;&gt;Gasto")-SUMIFS(Diario!$G$2:$G$400,Diario!$C$2:$C$400,$A10,Diario!$J$2:$J$400,"BI- Monetaria",Diario!$F$2:$F$400,"Gasto"),2)</f>
        <v>58565.17</v>
      </c>
      <c r="C10" s="3">
        <v>58915.53</v>
      </c>
      <c r="D10" s="2">
        <f>ROUND(C10-B10,2)</f>
        <v>350.36</v>
      </c>
      <c r="E10" s="5">
        <f>ROUND(B10+D10,2)</f>
        <v>58915.53</v>
      </c>
      <c r="F10" s="3">
        <f>ROUND(F9+SUMIFS(Diario!$G$2:$G$400,Diario!$C$2:$C$400,$A10,Diario!$E$2:$E$400,"2102 - Provisiones Laborales")-SUMIFS(Diario!$G$2:$G$400,Diario!$C$2:$C$400,$A10,Diario!$J$2:$J$400,"BI-Ahorro"),2)</f>
        <v>89018.67</v>
      </c>
      <c r="G10" t="str" s="6">
        <f>IF(ROUND(E10-C10,2)=0,"✅ Conciliado (Dif = Intereses)","🚫 Revisar")</f>
        <v>✅ Conciliado (Dif = Intereses)</v>
      </c>
      <c r="H10" t="inlineStr" s="0">
        <is>
          <t>100% cuadrado con extracto BI septiembre (Créditos Op. Q53,458.34 | Débitos Op. Q45,507.12). Dif = Q317.62 ago + Q32.74 intereses sep = Q350.36.</t>
        </is>
      </c>
    </row>
    <row r="11">
      <c r="A11" t="inlineStr" s="0">
        <is>
          <t>octubre</t>
        </is>
      </c>
      <c r="B11" s="3">
        <f>ROUND(B10+SUMIFS(Diario!$G$2:$G$400,Diario!$C$2:$C$400,$A11,Diario!$J$2:$J$400,"BI- Monetaria",Diario!$F$2:$F$400,"&lt;&gt;Gasto")-SUMIFS(Diario!$G$2:$G$400,Diario!$C$2:$C$400,$A11,Diario!$J$2:$J$400,"BI- Monetaria",Diario!$F$2:$F$400,"Gasto"),2)</f>
        <v>97531.05</v>
      </c>
      <c r="C11" s="3">
        <v>97881.41</v>
      </c>
      <c r="D11" s="2">
        <f>ROUND(C11-B11,2)</f>
        <v>350.36</v>
      </c>
      <c r="E11" s="5">
        <f>ROUND(B11+D11,2)</f>
        <v>97881.41</v>
      </c>
      <c r="F11" s="3">
        <f>ROUND(F10+SUMIFS(Diario!$G$2:$G$400,Diario!$C$2:$C$400,$A11,Diario!$E$2:$E$400,"2102 - Provisiones Laborales")-SUMIFS(Diario!$G$2:$G$400,Diario!$C$2:$C$400,$A11,Diario!$J$2:$J$400,"BI-Ahorro"),2)</f>
        <v>89018.67</v>
      </c>
      <c r="G11" t="str" s="6">
        <f>IF(ROUND(E11-C11,2)=0,"✅ Conciliado (Dif = Intereses)","🚫 Revisar")</f>
        <v>✅ Conciliado (Dif = Intereses)</v>
      </c>
      <c r="H11" t="inlineStr" s="0">
        <is>
          <t>100% cuadrado al 08/10/2026 con extracto BI (Créditos Q42,850.00 | Débitos Q3,884.12). Dif = Q350.36 intereses acumulados ene-sep.</t>
        </is>
      </c>
    </row>
  </sheetData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8" customWidth="1"/>
    <col min="2" max="2" width="20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18" customWidth="1"/>
    <col min="16" max="16" width="16" customWidth="1"/>
  </cols>
  <sheetData>
    <row r="1" ht="22" customHeight="1">
      <c r="A1" t="inlineStr" s="1">
        <is>
          <t>Partida Contable SAT</t>
        </is>
      </c>
      <c r="B1" t="inlineStr" s="1">
        <is>
          <t>Clasificación</t>
        </is>
      </c>
      <c r="C1" t="inlineStr" s="1">
        <is>
          <t>enero</t>
        </is>
      </c>
      <c r="D1" t="inlineStr" s="1">
        <is>
          <t>febrero</t>
        </is>
      </c>
      <c r="E1" t="inlineStr" s="1">
        <is>
          <t>marzo</t>
        </is>
      </c>
      <c r="F1" t="inlineStr" s="1">
        <is>
          <t>abril</t>
        </is>
      </c>
      <c r="G1" t="inlineStr" s="1">
        <is>
          <t>mayo</t>
        </is>
      </c>
      <c r="H1" t="inlineStr" s="1">
        <is>
          <t>junio</t>
        </is>
      </c>
      <c r="I1" t="inlineStr" s="1">
        <is>
          <t>julio</t>
        </is>
      </c>
      <c r="J1" t="inlineStr" s="1">
        <is>
          <t>agosto</t>
        </is>
      </c>
      <c r="K1" t="inlineStr" s="1">
        <is>
          <t>septiembre</t>
        </is>
      </c>
      <c r="L1" t="inlineStr" s="1">
        <is>
          <t>octubre</t>
        </is>
      </c>
      <c r="M1" t="inlineStr" s="1">
        <is>
          <t>noviembre</t>
        </is>
      </c>
      <c r="N1" t="inlineStr" s="1">
        <is>
          <t>diciembre</t>
        </is>
      </c>
      <c r="O1" t="inlineStr" s="1">
        <is>
          <t>Total Anual (Q)</t>
        </is>
      </c>
      <c r="P1" t="inlineStr" s="1">
        <is>
          <t>Promedio Mes (Q)</t>
        </is>
      </c>
    </row>
    <row r="2" ht="19" customHeight="1">
      <c r="A2" t="inlineStr" s="10">
        <is>
          <t>ENTRADAS (CUENTA BI-MONETARIA)</t>
        </is>
      </c>
      <c r="B2" t="inlineStr" s="10">
        <is>
          <t/>
        </is>
      </c>
    </row>
    <row r="3">
      <c r="A3" t="inlineStr" s="0">
        <is>
          <t>1100 - Activo Corriente</t>
        </is>
      </c>
      <c r="B3" t="inlineStr" s="0">
        <is>
          <t>Activo</t>
        </is>
      </c>
      <c r="C3" s="2">
        <f>SUMIFS(Diario!$G$2:$G$400,Diario!$E$2:$E$400,$A3,Diario!$C$2:$C$400,C$1,Diario!$J$2:$J$400,"BI- Monetaria")</f>
        <v>100.0</v>
      </c>
      <c r="D3" s="2">
        <f>SUMIFS(Diario!$G$2:$G$400,Diario!$E$2:$E$400,$A3,Diario!$C$2:$C$400,D$1,Diario!$J$2:$J$400,"BI- Monetaria")</f>
        <v>0</v>
      </c>
      <c r="E3" s="2">
        <f>SUMIFS(Diario!$G$2:$G$400,Diario!$E$2:$E$400,$A3,Diario!$C$2:$C$400,E$1,Diario!$J$2:$J$400,"BI- Monetaria")</f>
        <v>0</v>
      </c>
      <c r="F3" s="2">
        <f>SUMIFS(Diario!$G$2:$G$400,Diario!$E$2:$E$400,$A3,Diario!$C$2:$C$400,F$1,Diario!$J$2:$J$400,"BI- Monetaria")</f>
        <v>0</v>
      </c>
      <c r="G3" s="2">
        <f>SUMIFS(Diario!$G$2:$G$400,Diario!$E$2:$E$400,$A3,Diario!$C$2:$C$400,G$1,Diario!$J$2:$J$400,"BI- Monetaria")</f>
        <v>0</v>
      </c>
      <c r="H3" s="2">
        <f>SUMIFS(Diario!$G$2:$G$400,Diario!$E$2:$E$400,$A3,Diario!$C$2:$C$400,H$1,Diario!$J$2:$J$400,"BI- Monetaria")</f>
        <v>0</v>
      </c>
      <c r="I3" s="2">
        <f>SUMIFS(Diario!$G$2:$G$400,Diario!$E$2:$E$400,$A3,Diario!$C$2:$C$400,I$1,Diario!$J$2:$J$400,"BI- Monetaria")</f>
        <v>0</v>
      </c>
      <c r="J3" s="2">
        <f>SUMIFS(Diario!$G$2:$G$400,Diario!$E$2:$E$400,$A3,Diario!$C$2:$C$400,J$1,Diario!$J$2:$J$400,"BI- Monetaria")</f>
        <v>0</v>
      </c>
      <c r="K3" s="2">
        <f>SUMIFS(Diario!$G$2:$G$400,Diario!$E$2:$E$400,$A3,Diario!$C$2:$C$400,K$1,Diario!$J$2:$J$400,"BI- Monetaria")</f>
        <v>0</v>
      </c>
      <c r="L3" s="2">
        <f>SUMIFS(Diario!$G$2:$G$400,Diario!$E$2:$E$400,$A3,Diario!$C$2:$C$400,L$1,Diario!$J$2:$J$400,"BI- Monetaria")</f>
        <v>0</v>
      </c>
      <c r="M3" s="2">
        <f>SUMIFS(Diario!$G$2:$G$400,Diario!$E$2:$E$400,$A3,Diario!$C$2:$C$400,M$1,Diario!$J$2:$J$400,"BI- Monetaria")</f>
        <v>0</v>
      </c>
      <c r="N3" s="2">
        <f>SUMIFS(Diario!$G$2:$G$400,Diario!$E$2:$E$400,$A3,Diario!$C$2:$C$400,N$1,Diario!$J$2:$J$400,"BI- Monetaria")</f>
        <v>0</v>
      </c>
      <c r="O3" s="3">
        <f>SUM(C3:N3)</f>
        <v>100.0</v>
      </c>
      <c r="P3" s="2">
        <f>ROUND(O3/10,2)</f>
        <v>10.0</v>
      </c>
    </row>
    <row r="4">
      <c r="A4" t="inlineStr" s="0">
        <is>
          <t>1101 - Banco Operativo</t>
        </is>
      </c>
      <c r="B4" t="inlineStr" s="0">
        <is>
          <t>Activo</t>
        </is>
      </c>
      <c r="C4" s="2">
        <f>SUMIFS(Diario!$G$2:$G$400,Diario!$E$2:$E$400,$A4,Diario!$C$2:$C$400,C$1,Diario!$J$2:$J$400,"BI- Monetaria")</f>
        <v>1000.0</v>
      </c>
      <c r="D4" s="2">
        <f>SUMIFS(Diario!$G$2:$G$400,Diario!$E$2:$E$400,$A4,Diario!$C$2:$C$400,D$1,Diario!$J$2:$J$400,"BI- Monetaria")</f>
        <v>0</v>
      </c>
      <c r="E4" s="2">
        <f>SUMIFS(Diario!$G$2:$G$400,Diario!$E$2:$E$400,$A4,Diario!$C$2:$C$400,E$1,Diario!$J$2:$J$400,"BI- Monetaria")</f>
        <v>0</v>
      </c>
      <c r="F4" s="2">
        <f>SUMIFS(Diario!$G$2:$G$400,Diario!$E$2:$E$400,$A4,Diario!$C$2:$C$400,F$1,Diario!$J$2:$J$400,"BI- Monetaria")</f>
        <v>0</v>
      </c>
      <c r="G4" s="2">
        <f>SUMIFS(Diario!$G$2:$G$400,Diario!$E$2:$E$400,$A4,Diario!$C$2:$C$400,G$1,Diario!$J$2:$J$400,"BI- Monetaria")</f>
        <v>0</v>
      </c>
      <c r="H4" s="2">
        <f>SUMIFS(Diario!$G$2:$G$400,Diario!$E$2:$E$400,$A4,Diario!$C$2:$C$400,H$1,Diario!$J$2:$J$400,"BI- Monetaria")</f>
        <v>0</v>
      </c>
      <c r="I4" s="2">
        <f>SUMIFS(Diario!$G$2:$G$400,Diario!$E$2:$E$400,$A4,Diario!$C$2:$C$400,I$1,Diario!$J$2:$J$400,"BI- Monetaria")</f>
        <v>0</v>
      </c>
      <c r="J4" s="2">
        <f>SUMIFS(Diario!$G$2:$G$400,Diario!$E$2:$E$400,$A4,Diario!$C$2:$C$400,J$1,Diario!$J$2:$J$400,"BI- Monetaria")</f>
        <v>0</v>
      </c>
      <c r="K4" s="2">
        <f>SUMIFS(Diario!$G$2:$G$400,Diario!$E$2:$E$400,$A4,Diario!$C$2:$C$400,K$1,Diario!$J$2:$J$400,"BI- Monetaria")</f>
        <v>0</v>
      </c>
      <c r="L4" s="2">
        <f>SUMIFS(Diario!$G$2:$G$400,Diario!$E$2:$E$400,$A4,Diario!$C$2:$C$400,L$1,Diario!$J$2:$J$400,"BI- Monetaria")</f>
        <v>0</v>
      </c>
      <c r="M4" s="2">
        <f>SUMIFS(Diario!$G$2:$G$400,Diario!$E$2:$E$400,$A4,Diario!$C$2:$C$400,M$1,Diario!$J$2:$J$400,"BI- Monetaria")</f>
        <v>0</v>
      </c>
      <c r="N4" s="2">
        <f>SUMIFS(Diario!$G$2:$G$400,Diario!$E$2:$E$400,$A4,Diario!$C$2:$C$400,N$1,Diario!$J$2:$J$400,"BI- Monetaria")</f>
        <v>0</v>
      </c>
      <c r="O4" s="3">
        <f>SUM(C4:N4)</f>
        <v>1000.0</v>
      </c>
      <c r="P4" s="2">
        <f>ROUND(O4/10,2)</f>
        <v>100.0</v>
      </c>
    </row>
    <row r="5">
      <c r="A5" t="inlineStr" s="0">
        <is>
          <t>1106 - Exención de IVA</t>
        </is>
      </c>
      <c r="B5" t="inlineStr" s="0">
        <is>
          <t>Activo</t>
        </is>
      </c>
      <c r="C5" s="2">
        <f>SUMIFS(Diario!$G$2:$G$400,Diario!$E$2:$E$400,$A5,Diario!$C$2:$C$400,C$1,Diario!$J$2:$J$400,"BI- Monetaria")</f>
        <v>0</v>
      </c>
      <c r="D5" s="2">
        <f>SUMIFS(Diario!$G$2:$G$400,Diario!$E$2:$E$400,$A5,Diario!$C$2:$C$400,D$1,Diario!$J$2:$J$400,"BI- Monetaria")</f>
        <v>0</v>
      </c>
      <c r="E5" s="2">
        <f>SUMIFS(Diario!$G$2:$G$400,Diario!$E$2:$E$400,$A5,Diario!$C$2:$C$400,E$1,Diario!$J$2:$J$400,"BI- Monetaria")</f>
        <v>0</v>
      </c>
      <c r="F5" s="2">
        <f>SUMIFS(Diario!$G$2:$G$400,Diario!$E$2:$E$400,$A5,Diario!$C$2:$C$400,F$1,Diario!$J$2:$J$400,"BI- Monetaria")</f>
        <v>0</v>
      </c>
      <c r="G5" s="2">
        <f>SUMIFS(Diario!$G$2:$G$400,Diario!$E$2:$E$400,$A5,Diario!$C$2:$C$400,G$1,Diario!$J$2:$J$400,"BI- Monetaria")</f>
        <v>2709.0</v>
      </c>
      <c r="H5" s="2">
        <f>SUMIFS(Diario!$G$2:$G$400,Diario!$E$2:$E$400,$A5,Diario!$C$2:$C$400,H$1,Diario!$J$2:$J$400,"BI- Monetaria")</f>
        <v>0</v>
      </c>
      <c r="I5" s="2">
        <f>SUMIFS(Diario!$G$2:$G$400,Diario!$E$2:$E$400,$A5,Diario!$C$2:$C$400,I$1,Diario!$J$2:$J$400,"BI- Monetaria")</f>
        <v>0</v>
      </c>
      <c r="J5" s="2">
        <f>SUMIFS(Diario!$G$2:$G$400,Diario!$E$2:$E$400,$A5,Diario!$C$2:$C$400,J$1,Diario!$J$2:$J$400,"BI- Monetaria")</f>
        <v>0</v>
      </c>
      <c r="K5" s="2">
        <f>SUMIFS(Diario!$G$2:$G$400,Diario!$E$2:$E$400,$A5,Diario!$C$2:$C$400,K$1,Diario!$J$2:$J$400,"BI- Monetaria")</f>
        <v>0</v>
      </c>
      <c r="L5" s="2">
        <f>SUMIFS(Diario!$G$2:$G$400,Diario!$E$2:$E$400,$A5,Diario!$C$2:$C$400,L$1,Diario!$J$2:$J$400,"BI- Monetaria")</f>
        <v>0</v>
      </c>
      <c r="M5" s="2">
        <f>SUMIFS(Diario!$G$2:$G$400,Diario!$E$2:$E$400,$A5,Diario!$C$2:$C$400,M$1,Diario!$J$2:$J$400,"BI- Monetaria")</f>
        <v>0</v>
      </c>
      <c r="N5" s="2">
        <f>SUMIFS(Diario!$G$2:$G$400,Diario!$E$2:$E$400,$A5,Diario!$C$2:$C$400,N$1,Diario!$J$2:$J$400,"BI- Monetaria")</f>
        <v>0</v>
      </c>
      <c r="O5" s="3">
        <f>SUM(C5:N5)</f>
        <v>2709.0</v>
      </c>
      <c r="P5" s="2">
        <f>ROUND(O5/10,2)</f>
        <v>270.9</v>
      </c>
    </row>
    <row r="6">
      <c r="A6" t="inlineStr" s="0">
        <is>
          <t>2106 - Acreedores por Cuenta Ajena</t>
        </is>
      </c>
      <c r="B6" t="inlineStr" s="0">
        <is>
          <t>Pasivo</t>
        </is>
      </c>
      <c r="C6" s="2">
        <f>SUMIFS(Diario!$G$2:$G$400,Diario!$E$2:$E$400,$A6,Diario!$C$2:$C$400,C$1,Diario!$J$2:$J$400,"BI- Monetaria")</f>
        <v>3629.0</v>
      </c>
      <c r="D6" s="2">
        <f>SUMIFS(Diario!$G$2:$G$400,Diario!$E$2:$E$400,$A6,Diario!$C$2:$C$400,D$1,Diario!$J$2:$J$400,"BI- Monetaria")</f>
        <v>69.0</v>
      </c>
      <c r="E6" s="2">
        <f>SUMIFS(Diario!$G$2:$G$400,Diario!$E$2:$E$400,$A6,Diario!$C$2:$C$400,E$1,Diario!$J$2:$J$400,"BI- Monetaria")</f>
        <v>247.0</v>
      </c>
      <c r="F6" s="2">
        <f>SUMIFS(Diario!$G$2:$G$400,Diario!$E$2:$E$400,$A6,Diario!$C$2:$C$400,F$1,Diario!$J$2:$J$400,"BI- Monetaria")</f>
        <v>1047.0</v>
      </c>
      <c r="G6" s="2">
        <f>SUMIFS(Diario!$G$2:$G$400,Diario!$E$2:$E$400,$A6,Diario!$C$2:$C$400,G$1,Diario!$J$2:$J$400,"BI- Monetaria")</f>
        <v>0</v>
      </c>
      <c r="H6" s="2">
        <f>SUMIFS(Diario!$G$2:$G$400,Diario!$E$2:$E$400,$A6,Diario!$C$2:$C$400,H$1,Diario!$J$2:$J$400,"BI- Monetaria")</f>
        <v>0</v>
      </c>
      <c r="I6" s="2">
        <f>SUMIFS(Diario!$G$2:$G$400,Diario!$E$2:$E$400,$A6,Diario!$C$2:$C$400,I$1,Diario!$J$2:$J$400,"BI- Monetaria")</f>
        <v>0</v>
      </c>
      <c r="J6" s="2">
        <f>SUMIFS(Diario!$G$2:$G$400,Diario!$E$2:$E$400,$A6,Diario!$C$2:$C$400,J$1,Diario!$J$2:$J$400,"BI- Monetaria")</f>
        <v>0</v>
      </c>
      <c r="K6" s="2">
        <f>SUMIFS(Diario!$G$2:$G$400,Diario!$E$2:$E$400,$A6,Diario!$C$2:$C$400,K$1,Diario!$J$2:$J$400,"BI- Monetaria")</f>
        <v>0</v>
      </c>
      <c r="L6" s="2">
        <f>SUMIFS(Diario!$G$2:$G$400,Diario!$E$2:$E$400,$A6,Diario!$C$2:$C$400,L$1,Diario!$J$2:$J$400,"BI- Monetaria")</f>
        <v>0</v>
      </c>
      <c r="M6" s="2">
        <f>SUMIFS(Diario!$G$2:$G$400,Diario!$E$2:$E$400,$A6,Diario!$C$2:$C$400,M$1,Diario!$J$2:$J$400,"BI- Monetaria")</f>
        <v>0</v>
      </c>
      <c r="N6" s="2">
        <f>SUMIFS(Diario!$G$2:$G$400,Diario!$E$2:$E$400,$A6,Diario!$C$2:$C$400,N$1,Diario!$J$2:$J$400,"BI- Monetaria")</f>
        <v>0</v>
      </c>
      <c r="O6" s="3">
        <f>SUM(C6:N6)</f>
        <v>4992.0</v>
      </c>
      <c r="P6" s="2">
        <f>ROUND(O6/10,2)</f>
        <v>499.2</v>
      </c>
    </row>
    <row r="7">
      <c r="A7" t="inlineStr" s="0">
        <is>
          <t>2107 - Anticipo de inscripciones</t>
        </is>
      </c>
      <c r="B7" t="inlineStr" s="0">
        <is>
          <t>Pasivo 2027</t>
        </is>
      </c>
      <c r="C7" s="2">
        <f>SUMIFS(Diario!$G$2:$G$400,Diario!$E$2:$E$400,$A7,Diario!$C$2:$C$400,C$1,Diario!$J$2:$J$400,"BI- Monetaria")</f>
        <v>0</v>
      </c>
      <c r="D7" s="2">
        <f>SUMIFS(Diario!$G$2:$G$400,Diario!$E$2:$E$400,$A7,Diario!$C$2:$C$400,D$1,Diario!$J$2:$J$400,"BI- Monetaria")</f>
        <v>0</v>
      </c>
      <c r="E7" s="2">
        <f>SUMIFS(Diario!$G$2:$G$400,Diario!$E$2:$E$400,$A7,Diario!$C$2:$C$400,E$1,Diario!$J$2:$J$400,"BI- Monetaria")</f>
        <v>0</v>
      </c>
      <c r="F7" s="2">
        <f>SUMIFS(Diario!$G$2:$G$400,Diario!$E$2:$E$400,$A7,Diario!$C$2:$C$400,F$1,Diario!$J$2:$J$400,"BI- Monetaria")</f>
        <v>0</v>
      </c>
      <c r="G7" s="2">
        <f>SUMIFS(Diario!$G$2:$G$400,Diario!$E$2:$E$400,$A7,Diario!$C$2:$C$400,G$1,Diario!$J$2:$J$400,"BI- Monetaria")</f>
        <v>0</v>
      </c>
      <c r="H7" s="2">
        <f>SUMIFS(Diario!$G$2:$G$400,Diario!$E$2:$E$400,$A7,Diario!$C$2:$C$400,H$1,Diario!$J$2:$J$400,"BI- Monetaria")</f>
        <v>0</v>
      </c>
      <c r="I7" s="2">
        <f>SUMIFS(Diario!$G$2:$G$400,Diario!$E$2:$E$400,$A7,Diario!$C$2:$C$400,I$1,Diario!$J$2:$J$400,"BI- Monetaria")</f>
        <v>5150.0</v>
      </c>
      <c r="J7" s="2">
        <f>SUMIFS(Diario!$G$2:$G$400,Diario!$E$2:$E$400,$A7,Diario!$C$2:$C$400,J$1,Diario!$J$2:$J$400,"BI- Monetaria")</f>
        <v>0</v>
      </c>
      <c r="K7" s="2">
        <f>SUMIFS(Diario!$G$2:$G$400,Diario!$E$2:$E$400,$A7,Diario!$C$2:$C$400,K$1,Diario!$J$2:$J$400,"BI- Monetaria")</f>
        <v>4000.0</v>
      </c>
      <c r="L7" s="2">
        <f>SUMIFS(Diario!$G$2:$G$400,Diario!$E$2:$E$400,$A7,Diario!$C$2:$C$400,L$1,Diario!$J$2:$J$400,"BI- Monetaria")</f>
        <v>0</v>
      </c>
      <c r="M7" s="2">
        <f>SUMIFS(Diario!$G$2:$G$400,Diario!$E$2:$E$400,$A7,Diario!$C$2:$C$400,M$1,Diario!$J$2:$J$400,"BI- Monetaria")</f>
        <v>0</v>
      </c>
      <c r="N7" s="2">
        <f>SUMIFS(Diario!$G$2:$G$400,Diario!$E$2:$E$400,$A7,Diario!$C$2:$C$400,N$1,Diario!$J$2:$J$400,"BI- Monetaria")</f>
        <v>0</v>
      </c>
      <c r="O7" s="3">
        <f>SUM(C7:N7)</f>
        <v>9150.0</v>
      </c>
      <c r="P7" s="2">
        <f>ROUND(O7/10,2)</f>
        <v>915.0</v>
      </c>
    </row>
    <row r="8">
      <c r="A8" t="inlineStr" s="0">
        <is>
          <t>4101 - Inscripciones</t>
        </is>
      </c>
      <c r="B8" t="inlineStr" s="0">
        <is>
          <t>Ingreso</t>
        </is>
      </c>
      <c r="C8" s="2">
        <f>SUMIFS(Diario!$G$2:$G$400,Diario!$E$2:$E$400,$A8,Diario!$C$2:$C$400,C$1,Diario!$J$2:$J$400,"BI- Monetaria")</f>
        <v>58716.66</v>
      </c>
      <c r="D8" s="2">
        <f>SUMIFS(Diario!$G$2:$G$400,Diario!$E$2:$E$400,$A8,Diario!$C$2:$C$400,D$1,Diario!$J$2:$J$400,"BI- Monetaria")</f>
        <v>1716.66</v>
      </c>
      <c r="E8" s="2">
        <f>SUMIFS(Diario!$G$2:$G$400,Diario!$E$2:$E$400,$A8,Diario!$C$2:$C$400,E$1,Diario!$J$2:$J$400,"BI- Monetaria")</f>
        <v>1716.66</v>
      </c>
      <c r="F8" s="2">
        <f>SUMIFS(Diario!$G$2:$G$400,Diario!$E$2:$E$400,$A8,Diario!$C$2:$C$400,F$1,Diario!$J$2:$J$400,"BI- Monetaria")</f>
        <v>3312.5</v>
      </c>
      <c r="G8" s="2">
        <f>SUMIFS(Diario!$G$2:$G$400,Diario!$E$2:$E$400,$A8,Diario!$C$2:$C$400,G$1,Diario!$J$2:$J$400,"BI- Monetaria")</f>
        <v>1595.5</v>
      </c>
      <c r="H8" s="2">
        <f>SUMIFS(Diario!$G$2:$G$400,Diario!$E$2:$E$400,$A8,Diario!$C$2:$C$400,H$1,Diario!$J$2:$J$400,"BI- Monetaria")</f>
        <v>3312.51</v>
      </c>
      <c r="I8" s="2">
        <f>SUMIFS(Diario!$G$2:$G$400,Diario!$E$2:$E$400,$A8,Diario!$C$2:$C$400,I$1,Diario!$J$2:$J$400,"BI- Monetaria")</f>
        <v>3312.54</v>
      </c>
      <c r="J8" s="2">
        <f>SUMIFS(Diario!$G$2:$G$400,Diario!$E$2:$E$400,$A8,Diario!$C$2:$C$400,J$1,Diario!$J$2:$J$400,"BI- Monetaria")</f>
        <v>308.34</v>
      </c>
      <c r="K8" s="2">
        <f>SUMIFS(Diario!$G$2:$G$400,Diario!$E$2:$E$400,$A8,Diario!$C$2:$C$400,K$1,Diario!$J$2:$J$400,"BI- Monetaria")</f>
        <v>308.34</v>
      </c>
      <c r="L8" s="2">
        <f>SUMIFS(Diario!$G$2:$G$400,Diario!$E$2:$E$400,$A8,Diario!$C$2:$C$400,L$1,Diario!$J$2:$J$400,"BI- Monetaria")</f>
        <v>0</v>
      </c>
      <c r="M8" s="2">
        <f>SUMIFS(Diario!$G$2:$G$400,Diario!$E$2:$E$400,$A8,Diario!$C$2:$C$400,M$1,Diario!$J$2:$J$400,"BI- Monetaria")</f>
        <v>0</v>
      </c>
      <c r="N8" s="2">
        <f>SUMIFS(Diario!$G$2:$G$400,Diario!$E$2:$E$400,$A8,Diario!$C$2:$C$400,N$1,Diario!$J$2:$J$400,"BI- Monetaria")</f>
        <v>0</v>
      </c>
      <c r="O8" s="3">
        <f>SUM(C8:N8)</f>
        <v>74299.71</v>
      </c>
      <c r="P8" s="2">
        <f>ROUND(O8/10,2)</f>
        <v>7429.97</v>
      </c>
    </row>
    <row r="9">
      <c r="A9" t="inlineStr" s="0">
        <is>
          <t>4102 - Colegiaturas Mensuales</t>
        </is>
      </c>
      <c r="B9" t="inlineStr" s="0">
        <is>
          <t>Ingreso</t>
        </is>
      </c>
      <c r="C9" s="2">
        <f>SUMIFS(Diario!$G$2:$G$400,Diario!$E$2:$E$400,$A9,Diario!$C$2:$C$400,C$1,Diario!$J$2:$J$400,"BI- Monetaria")</f>
        <v>31700.0</v>
      </c>
      <c r="D9" s="2">
        <f>SUMIFS(Diario!$G$2:$G$400,Diario!$E$2:$E$400,$A9,Diario!$C$2:$C$400,D$1,Diario!$J$2:$J$400,"BI- Monetaria")</f>
        <v>44800.0</v>
      </c>
      <c r="E9" s="2">
        <f>SUMIFS(Diario!$G$2:$G$400,Diario!$E$2:$E$400,$A9,Diario!$C$2:$C$400,E$1,Diario!$J$2:$J$400,"BI- Monetaria")</f>
        <v>43257.57</v>
      </c>
      <c r="F9" s="2">
        <f>SUMIFS(Diario!$G$2:$G$400,Diario!$E$2:$E$400,$A9,Diario!$C$2:$C$400,F$1,Diario!$J$2:$J$400,"BI- Monetaria")</f>
        <v>52950.0</v>
      </c>
      <c r="G9" s="2">
        <f>SUMIFS(Diario!$G$2:$G$400,Diario!$E$2:$E$400,$A9,Diario!$C$2:$C$400,G$1,Diario!$J$2:$J$400,"BI- Monetaria")</f>
        <v>51908.33</v>
      </c>
      <c r="H9" s="2">
        <f>SUMIFS(Diario!$G$2:$G$400,Diario!$E$2:$E$400,$A9,Diario!$C$2:$C$400,H$1,Diario!$J$2:$J$400,"BI- Monetaria")</f>
        <v>50192.0</v>
      </c>
      <c r="I9" s="2">
        <f>SUMIFS(Diario!$G$2:$G$400,Diario!$E$2:$E$400,$A9,Diario!$C$2:$C$400,I$1,Diario!$J$2:$J$400,"BI- Monetaria")</f>
        <v>47193.31</v>
      </c>
      <c r="J9" s="2">
        <f>SUMIFS(Diario!$G$2:$G$400,Diario!$E$2:$E$400,$A9,Diario!$C$2:$C$400,J$1,Diario!$J$2:$J$400,"BI- Monetaria")</f>
        <v>55450.0</v>
      </c>
      <c r="K9" s="2">
        <f>SUMIFS(Diario!$G$2:$G$400,Diario!$E$2:$E$400,$A9,Diario!$C$2:$C$400,K$1,Diario!$J$2:$J$400,"BI- Monetaria")</f>
        <v>49150.0</v>
      </c>
      <c r="L9" s="2">
        <f>SUMIFS(Diario!$G$2:$G$400,Diario!$E$2:$E$400,$A9,Diario!$C$2:$C$400,L$1,Diario!$J$2:$J$400,"BI- Monetaria")</f>
        <v>42850.0</v>
      </c>
      <c r="M9" s="2">
        <f>SUMIFS(Diario!$G$2:$G$400,Diario!$E$2:$E$400,$A9,Diario!$C$2:$C$400,M$1,Diario!$J$2:$J$400,"BI- Monetaria")</f>
        <v>0</v>
      </c>
      <c r="N9" s="2">
        <f>SUMIFS(Diario!$G$2:$G$400,Diario!$E$2:$E$400,$A9,Diario!$C$2:$C$400,N$1,Diario!$J$2:$J$400,"BI- Monetaria")</f>
        <v>0</v>
      </c>
      <c r="O9" s="3">
        <f>SUM(C9:N9)</f>
        <v>469451.21</v>
      </c>
      <c r="P9" s="2">
        <f>ROUND(O9/10,2)</f>
        <v>46945.12</v>
      </c>
    </row>
    <row r="10">
      <c r="A10" t="inlineStr" s="0">
        <is>
          <t>4200 - Ingresos Comerciales (Afectos)</t>
        </is>
      </c>
      <c r="B10" t="inlineStr" s="0">
        <is>
          <t>Ingreso</t>
        </is>
      </c>
      <c r="C10" s="2">
        <f>SUMIFS(Diario!$G$2:$G$400,Diario!$E$2:$E$400,$A10,Diario!$C$2:$C$400,C$1,Diario!$J$2:$J$400,"BI- Monetaria")</f>
        <v>0</v>
      </c>
      <c r="D10" s="2">
        <f>SUMIFS(Diario!$G$2:$G$400,Diario!$E$2:$E$400,$A10,Diario!$C$2:$C$400,D$1,Diario!$J$2:$J$400,"BI- Monetaria")</f>
        <v>1075.0</v>
      </c>
      <c r="E10" s="2">
        <f>SUMIFS(Diario!$G$2:$G$400,Diario!$E$2:$E$400,$A10,Diario!$C$2:$C$400,E$1,Diario!$J$2:$J$400,"BI- Monetaria")</f>
        <v>0</v>
      </c>
      <c r="F10" s="2">
        <f>SUMIFS(Diario!$G$2:$G$400,Diario!$E$2:$E$400,$A10,Diario!$C$2:$C$400,F$1,Diario!$J$2:$J$400,"BI- Monetaria")</f>
        <v>0</v>
      </c>
      <c r="G10" s="2">
        <f>SUMIFS(Diario!$G$2:$G$400,Diario!$E$2:$E$400,$A10,Diario!$C$2:$C$400,G$1,Diario!$J$2:$J$400,"BI- Monetaria")</f>
        <v>300.0</v>
      </c>
      <c r="H10" s="2">
        <f>SUMIFS(Diario!$G$2:$G$400,Diario!$E$2:$E$400,$A10,Diario!$C$2:$C$400,H$1,Diario!$J$2:$J$400,"BI- Monetaria")</f>
        <v>0</v>
      </c>
      <c r="I10" s="2">
        <f>SUMIFS(Diario!$G$2:$G$400,Diario!$E$2:$E$400,$A10,Diario!$C$2:$C$400,I$1,Diario!$J$2:$J$400,"BI- Monetaria")</f>
        <v>0</v>
      </c>
      <c r="J10" s="2">
        <f>SUMIFS(Diario!$G$2:$G$400,Diario!$E$2:$E$400,$A10,Diario!$C$2:$C$400,J$1,Diario!$J$2:$J$400,"BI- Monetaria")</f>
        <v>0</v>
      </c>
      <c r="K10" s="2">
        <f>SUMIFS(Diario!$G$2:$G$400,Diario!$E$2:$E$400,$A10,Diario!$C$2:$C$400,K$1,Diario!$J$2:$J$400,"BI- Monetaria")</f>
        <v>0</v>
      </c>
      <c r="L10" s="2">
        <f>SUMIFS(Diario!$G$2:$G$400,Diario!$E$2:$E$400,$A10,Diario!$C$2:$C$400,L$1,Diario!$J$2:$J$400,"BI- Monetaria")</f>
        <v>0</v>
      </c>
      <c r="M10" s="2">
        <f>SUMIFS(Diario!$G$2:$G$400,Diario!$E$2:$E$400,$A10,Diario!$C$2:$C$400,M$1,Diario!$J$2:$J$400,"BI- Monetaria")</f>
        <v>0</v>
      </c>
      <c r="N10" s="2">
        <f>SUMIFS(Diario!$G$2:$G$400,Diario!$E$2:$E$400,$A10,Diario!$C$2:$C$400,N$1,Diario!$J$2:$J$400,"BI- Monetaria")</f>
        <v>0</v>
      </c>
      <c r="O10" s="3">
        <f>SUM(C10:N10)</f>
        <v>1375.0</v>
      </c>
      <c r="P10" s="2">
        <f>ROUND(O10/10,2)</f>
        <v>137.5</v>
      </c>
    </row>
    <row r="11">
      <c r="A11" t="inlineStr" s="0">
        <is>
          <t>4201 - Venta de Libros y Uniformes</t>
        </is>
      </c>
      <c r="B11" t="inlineStr" s="0">
        <is>
          <t>Ingreso</t>
        </is>
      </c>
      <c r="C11" s="2">
        <f>SUMIFS(Diario!$G$2:$G$400,Diario!$E$2:$E$400,$A11,Diario!$C$2:$C$400,C$1,Diario!$J$2:$J$400,"BI- Monetaria")</f>
        <v>0</v>
      </c>
      <c r="D11" s="2">
        <f>SUMIFS(Diario!$G$2:$G$400,Diario!$E$2:$E$400,$A11,Diario!$C$2:$C$400,D$1,Diario!$J$2:$J$400,"BI- Monetaria")</f>
        <v>0</v>
      </c>
      <c r="E11" s="2">
        <f>SUMIFS(Diario!$G$2:$G$400,Diario!$E$2:$E$400,$A11,Diario!$C$2:$C$400,E$1,Diario!$J$2:$J$400,"BI- Monetaria")</f>
        <v>0</v>
      </c>
      <c r="F11" s="2">
        <f>SUMIFS(Diario!$G$2:$G$400,Diario!$E$2:$E$400,$A11,Diario!$C$2:$C$400,F$1,Diario!$J$2:$J$400,"BI- Monetaria")</f>
        <v>0</v>
      </c>
      <c r="G11" s="2">
        <f>SUMIFS(Diario!$G$2:$G$400,Diario!$E$2:$E$400,$A11,Diario!$C$2:$C$400,G$1,Diario!$J$2:$J$400,"BI- Monetaria")</f>
        <v>400.0</v>
      </c>
      <c r="H11" s="2">
        <f>SUMIFS(Diario!$G$2:$G$400,Diario!$E$2:$E$400,$A11,Diario!$C$2:$C$400,H$1,Diario!$J$2:$J$400,"BI- Monetaria")</f>
        <v>0</v>
      </c>
      <c r="I11" s="2">
        <f>SUMIFS(Diario!$G$2:$G$400,Diario!$E$2:$E$400,$A11,Diario!$C$2:$C$400,I$1,Diario!$J$2:$J$400,"BI- Monetaria")</f>
        <v>0</v>
      </c>
      <c r="J11" s="2">
        <f>SUMIFS(Diario!$G$2:$G$400,Diario!$E$2:$E$400,$A11,Diario!$C$2:$C$400,J$1,Diario!$J$2:$J$400,"BI- Monetaria")</f>
        <v>0</v>
      </c>
      <c r="K11" s="2">
        <f>SUMIFS(Diario!$G$2:$G$400,Diario!$E$2:$E$400,$A11,Diario!$C$2:$C$400,K$1,Diario!$J$2:$J$400,"BI- Monetaria")</f>
        <v>0</v>
      </c>
      <c r="L11" s="2">
        <f>SUMIFS(Diario!$G$2:$G$400,Diario!$E$2:$E$400,$A11,Diario!$C$2:$C$400,L$1,Diario!$J$2:$J$400,"BI- Monetaria")</f>
        <v>0</v>
      </c>
      <c r="M11" s="2">
        <f>SUMIFS(Diario!$G$2:$G$400,Diario!$E$2:$E$400,$A11,Diario!$C$2:$C$400,M$1,Diario!$J$2:$J$400,"BI- Monetaria")</f>
        <v>0</v>
      </c>
      <c r="N11" s="2">
        <f>SUMIFS(Diario!$G$2:$G$400,Diario!$E$2:$E$400,$A11,Diario!$C$2:$C$400,N$1,Diario!$J$2:$J$400,"BI- Monetaria")</f>
        <v>0</v>
      </c>
      <c r="O11" s="3">
        <f>SUM(C11:N11)</f>
        <v>400.0</v>
      </c>
      <c r="P11" s="2">
        <f>ROUND(O11/10,2)</f>
        <v>40.0</v>
      </c>
    </row>
    <row r="12">
      <c r="A12" t="inlineStr" s="0">
        <is>
          <t>4203 - Donaciones recibidas</t>
        </is>
      </c>
      <c r="B12" t="inlineStr" s="0">
        <is>
          <t>Ingreso</t>
        </is>
      </c>
      <c r="C12" s="2">
        <f>SUMIFS(Diario!$G$2:$G$400,Diario!$E$2:$E$400,$A12,Diario!$C$2:$C$400,C$1,Diario!$J$2:$J$400,"BI- Monetaria")</f>
        <v>0</v>
      </c>
      <c r="D12" s="2">
        <f>SUMIFS(Diario!$G$2:$G$400,Diario!$E$2:$E$400,$A12,Diario!$C$2:$C$400,D$1,Diario!$J$2:$J$400,"BI- Monetaria")</f>
        <v>0</v>
      </c>
      <c r="E12" s="2">
        <f>SUMIFS(Diario!$G$2:$G$400,Diario!$E$2:$E$400,$A12,Diario!$C$2:$C$400,E$1,Diario!$J$2:$J$400,"BI- Monetaria")</f>
        <v>38976.9</v>
      </c>
      <c r="F12" s="2">
        <f>SUMIFS(Diario!$G$2:$G$400,Diario!$E$2:$E$400,$A12,Diario!$C$2:$C$400,F$1,Diario!$J$2:$J$400,"BI- Monetaria")</f>
        <v>0</v>
      </c>
      <c r="G12" s="2">
        <f>SUMIFS(Diario!$G$2:$G$400,Diario!$E$2:$E$400,$A12,Diario!$C$2:$C$400,G$1,Diario!$J$2:$J$400,"BI- Monetaria")</f>
        <v>12960.0</v>
      </c>
      <c r="H12" s="2">
        <f>SUMIFS(Diario!$G$2:$G$400,Diario!$E$2:$E$400,$A12,Diario!$C$2:$C$400,H$1,Diario!$J$2:$J$400,"BI- Monetaria")</f>
        <v>0</v>
      </c>
      <c r="I12" s="2">
        <f>SUMIFS(Diario!$G$2:$G$400,Diario!$E$2:$E$400,$A12,Diario!$C$2:$C$400,I$1,Diario!$J$2:$J$400,"BI- Monetaria")</f>
        <v>12500.0</v>
      </c>
      <c r="J12" s="2">
        <f>SUMIFS(Diario!$G$2:$G$400,Diario!$E$2:$E$400,$A12,Diario!$C$2:$C$400,J$1,Diario!$J$2:$J$400,"BI- Monetaria")</f>
        <v>0</v>
      </c>
      <c r="K12" s="2">
        <f>SUMIFS(Diario!$G$2:$G$400,Diario!$E$2:$E$400,$A12,Diario!$C$2:$C$400,K$1,Diario!$J$2:$J$400,"BI- Monetaria")</f>
        <v>0</v>
      </c>
      <c r="L12" s="2">
        <f>SUMIFS(Diario!$G$2:$G$400,Diario!$E$2:$E$400,$A12,Diario!$C$2:$C$400,L$1,Diario!$J$2:$J$400,"BI- Monetaria")</f>
        <v>0</v>
      </c>
      <c r="M12" s="2">
        <f>SUMIFS(Diario!$G$2:$G$400,Diario!$E$2:$E$400,$A12,Diario!$C$2:$C$400,M$1,Diario!$J$2:$J$400,"BI- Monetaria")</f>
        <v>0</v>
      </c>
      <c r="N12" s="2">
        <f>SUMIFS(Diario!$G$2:$G$400,Diario!$E$2:$E$400,$A12,Diario!$C$2:$C$400,N$1,Diario!$J$2:$J$400,"BI- Monetaria")</f>
        <v>0</v>
      </c>
      <c r="O12" s="3">
        <f>SUM(C12:N12)</f>
        <v>64436.9</v>
      </c>
      <c r="P12" s="2">
        <f>ROUND(O12/10,2)</f>
        <v>6443.69</v>
      </c>
    </row>
    <row r="13" ht="20" customHeight="1">
      <c r="A13" t="inlineStr" s="6">
        <is>
          <t>TOTAL ENTRADAS BI-MONETARIA</t>
        </is>
      </c>
      <c r="B13" t="inlineStr" s="6">
        <is>
          <t>Entradas</t>
        </is>
      </c>
      <c r="C13" s="5">
        <f>SUM(C3:C12)</f>
        <v>95145.66</v>
      </c>
      <c r="D13" s="5">
        <f>SUM(D3:D12)</f>
        <v>47660.66</v>
      </c>
      <c r="E13" s="5">
        <f>SUM(E3:E12)</f>
        <v>84198.13</v>
      </c>
      <c r="F13" s="5">
        <f>SUM(F3:F12)</f>
        <v>57309.5</v>
      </c>
      <c r="G13" s="5">
        <f>SUM(G3:G12)</f>
        <v>69872.83</v>
      </c>
      <c r="H13" s="5">
        <f>SUM(H3:H12)</f>
        <v>53504.51</v>
      </c>
      <c r="I13" s="5">
        <f>SUM(I3:I12)</f>
        <v>68155.85</v>
      </c>
      <c r="J13" s="5">
        <f>SUM(J3:J12)</f>
        <v>55758.34</v>
      </c>
      <c r="K13" s="5">
        <f>SUM(K3:K12)</f>
        <v>53458.34</v>
      </c>
      <c r="L13" s="5">
        <f>SUM(L3:L12)</f>
        <v>42850.0</v>
      </c>
      <c r="M13" s="5">
        <f>SUM(M3:M12)</f>
        <v>0</v>
      </c>
      <c r="N13" s="5">
        <f>SUM(N3:N12)</f>
        <v>0</v>
      </c>
      <c r="O13" s="5">
        <f>SUM(C13:N13)</f>
        <v>627913.82</v>
      </c>
      <c r="P13" s="5">
        <f>ROUND(O13/10,2)</f>
        <v>62791.38</v>
      </c>
    </row>
    <row r="14" ht="19" customHeight="1">
      <c r="A14" t="inlineStr" s="10">
        <is>
          <t>SALIDAS (CUENTA BI-MONETARIA)</t>
        </is>
      </c>
      <c r="B14" t="inlineStr" s="10">
        <is>
          <t/>
        </is>
      </c>
    </row>
    <row r="15">
      <c r="A15" t="inlineStr" s="0">
        <is>
          <t>1105 - Anticipo a proveedores</t>
        </is>
      </c>
      <c r="B15" t="inlineStr" s="0">
        <is>
          <t>Gasto / Anticipo</t>
        </is>
      </c>
      <c r="C15" s="2">
        <f>SUMIFS(Diario!$G$2:$G$400,Diario!$E$2:$E$400,$A15,Diario!$C$2:$C$400,C$1,Diario!$J$2:$J$400,"BI- Monetaria")</f>
        <v>0</v>
      </c>
      <c r="D15" s="2">
        <f>SUMIFS(Diario!$G$2:$G$400,Diario!$E$2:$E$400,$A15,Diario!$C$2:$C$400,D$1,Diario!$J$2:$J$400,"BI- Monetaria")</f>
        <v>0</v>
      </c>
      <c r="E15" s="2">
        <f>SUMIFS(Diario!$G$2:$G$400,Diario!$E$2:$E$400,$A15,Diario!$C$2:$C$400,E$1,Diario!$J$2:$J$400,"BI- Monetaria")</f>
        <v>11095.0</v>
      </c>
      <c r="F15" s="2">
        <f>SUMIFS(Diario!$G$2:$G$400,Diario!$E$2:$E$400,$A15,Diario!$C$2:$C$400,F$1,Diario!$J$2:$J$400,"BI- Monetaria")</f>
        <v>0</v>
      </c>
      <c r="G15" s="2">
        <f>SUMIFS(Diario!$G$2:$G$400,Diario!$E$2:$E$400,$A15,Diario!$C$2:$C$400,G$1,Diario!$J$2:$J$400,"BI- Monetaria")</f>
        <v>0</v>
      </c>
      <c r="H15" s="2">
        <f>SUMIFS(Diario!$G$2:$G$400,Diario!$E$2:$E$400,$A15,Diario!$C$2:$C$400,H$1,Diario!$J$2:$J$400,"BI- Monetaria")</f>
        <v>0</v>
      </c>
      <c r="I15" s="2">
        <f>SUMIFS(Diario!$G$2:$G$400,Diario!$E$2:$E$400,$A15,Diario!$C$2:$C$400,I$1,Diario!$J$2:$J$400,"BI- Monetaria")</f>
        <v>0</v>
      </c>
      <c r="J15" s="2">
        <f>SUMIFS(Diario!$G$2:$G$400,Diario!$E$2:$E$400,$A15,Diario!$C$2:$C$400,J$1,Diario!$J$2:$J$400,"BI- Monetaria")</f>
        <v>0</v>
      </c>
      <c r="K15" s="2">
        <f>SUMIFS(Diario!$G$2:$G$400,Diario!$E$2:$E$400,$A15,Diario!$C$2:$C$400,K$1,Diario!$J$2:$J$400,"BI- Monetaria")</f>
        <v>0</v>
      </c>
      <c r="L15" s="2">
        <f>SUMIFS(Diario!$G$2:$G$400,Diario!$E$2:$E$400,$A15,Diario!$C$2:$C$400,L$1,Diario!$J$2:$J$400,"BI- Monetaria")</f>
        <v>0</v>
      </c>
      <c r="M15" s="2">
        <f>SUMIFS(Diario!$G$2:$G$400,Diario!$E$2:$E$400,$A15,Diario!$C$2:$C$400,M$1,Diario!$J$2:$J$400,"BI- Monetaria")</f>
        <v>0</v>
      </c>
      <c r="N15" s="2">
        <f>SUMIFS(Diario!$G$2:$G$400,Diario!$E$2:$E$400,$A15,Diario!$C$2:$C$400,N$1,Diario!$J$2:$J$400,"BI- Monetaria")</f>
        <v>0</v>
      </c>
      <c r="O15" s="3">
        <f>SUM(C15:N15)</f>
        <v>11095.0</v>
      </c>
      <c r="P15" s="2">
        <f>ROUND(O15/10,2)</f>
        <v>1109.5</v>
      </c>
    </row>
    <row r="16">
      <c r="A16" t="inlineStr" s="0">
        <is>
          <t>1501 - Mobiliario y Equipo</t>
        </is>
      </c>
      <c r="B16" t="inlineStr" s="0">
        <is>
          <t>Gasto / Inversión</t>
        </is>
      </c>
      <c r="C16" s="2">
        <f>SUMIFS(Diario!$G$2:$G$400,Diario!$E$2:$E$400,$A16,Diario!$C$2:$C$400,C$1,Diario!$J$2:$J$400,"BI- Monetaria")</f>
        <v>0</v>
      </c>
      <c r="D16" s="2">
        <f>SUMIFS(Diario!$G$2:$G$400,Diario!$E$2:$E$400,$A16,Diario!$C$2:$C$400,D$1,Diario!$J$2:$J$400,"BI- Monetaria")</f>
        <v>1700.0</v>
      </c>
      <c r="E16" s="2">
        <f>SUMIFS(Diario!$G$2:$G$400,Diario!$E$2:$E$400,$A16,Diario!$C$2:$C$400,E$1,Diario!$J$2:$J$400,"BI- Monetaria")</f>
        <v>8717.5</v>
      </c>
      <c r="F16" s="2">
        <f>SUMIFS(Diario!$G$2:$G$400,Diario!$E$2:$E$400,$A16,Diario!$C$2:$C$400,F$1,Diario!$J$2:$J$400,"BI- Monetaria")</f>
        <v>0</v>
      </c>
      <c r="G16" s="2">
        <f>SUMIFS(Diario!$G$2:$G$400,Diario!$E$2:$E$400,$A16,Diario!$C$2:$C$400,G$1,Diario!$J$2:$J$400,"BI- Monetaria")</f>
        <v>25285.0</v>
      </c>
      <c r="H16" s="2">
        <f>SUMIFS(Diario!$G$2:$G$400,Diario!$E$2:$E$400,$A16,Diario!$C$2:$C$400,H$1,Diario!$J$2:$J$400,"BI- Monetaria")</f>
        <v>0</v>
      </c>
      <c r="I16" s="2">
        <f>SUMIFS(Diario!$G$2:$G$400,Diario!$E$2:$E$400,$A16,Diario!$C$2:$C$400,I$1,Diario!$J$2:$J$400,"BI- Monetaria")</f>
        <v>7680.0</v>
      </c>
      <c r="J16" s="2">
        <f>SUMIFS(Diario!$G$2:$G$400,Diario!$E$2:$E$400,$A16,Diario!$C$2:$C$400,J$1,Diario!$J$2:$J$400,"BI- Monetaria")</f>
        <v>4748.58</v>
      </c>
      <c r="K16" s="2">
        <f>SUMIFS(Diario!$G$2:$G$400,Diario!$E$2:$E$400,$A16,Diario!$C$2:$C$400,K$1,Diario!$J$2:$J$400,"BI- Monetaria")</f>
        <v>0</v>
      </c>
      <c r="L16" s="2">
        <f>SUMIFS(Diario!$G$2:$G$400,Diario!$E$2:$E$400,$A16,Diario!$C$2:$C$400,L$1,Diario!$J$2:$J$400,"BI- Monetaria")</f>
        <v>0</v>
      </c>
      <c r="M16" s="2">
        <f>SUMIFS(Diario!$G$2:$G$400,Diario!$E$2:$E$400,$A16,Diario!$C$2:$C$400,M$1,Diario!$J$2:$J$400,"BI- Monetaria")</f>
        <v>0</v>
      </c>
      <c r="N16" s="2">
        <f>SUMIFS(Diario!$G$2:$G$400,Diario!$E$2:$E$400,$A16,Diario!$C$2:$C$400,N$1,Diario!$J$2:$J$400,"BI- Monetaria")</f>
        <v>0</v>
      </c>
      <c r="O16" s="3">
        <f>SUM(C16:N16)</f>
        <v>48131.08</v>
      </c>
      <c r="P16" s="2">
        <f>ROUND(O16/10,2)</f>
        <v>4813.11</v>
      </c>
    </row>
    <row r="17">
      <c r="A17" t="inlineStr" s="0">
        <is>
          <t>2101 - Proveedores Locales</t>
        </is>
      </c>
      <c r="B17" t="inlineStr" s="0">
        <is>
          <t>Gasto</t>
        </is>
      </c>
      <c r="C17" s="2">
        <f>SUMIFS(Diario!$G$2:$G$400,Diario!$E$2:$E$400,$A17,Diario!$C$2:$C$400,C$1,Diario!$J$2:$J$400,"BI- Monetaria")</f>
        <v>0</v>
      </c>
      <c r="D17" s="2">
        <f>SUMIFS(Diario!$G$2:$G$400,Diario!$E$2:$E$400,$A17,Diario!$C$2:$C$400,D$1,Diario!$J$2:$J$400,"BI- Monetaria")</f>
        <v>5580.0</v>
      </c>
      <c r="E17" s="2">
        <f>SUMIFS(Diario!$G$2:$G$400,Diario!$E$2:$E$400,$A17,Diario!$C$2:$C$400,E$1,Diario!$J$2:$J$400,"BI- Monetaria")</f>
        <v>6008.93</v>
      </c>
      <c r="F17" s="2">
        <f>SUMIFS(Diario!$G$2:$G$400,Diario!$E$2:$E$400,$A17,Diario!$C$2:$C$400,F$1,Diario!$J$2:$J$400,"BI- Monetaria")</f>
        <v>1705.0</v>
      </c>
      <c r="G17" s="2">
        <f>SUMIFS(Diario!$G$2:$G$400,Diario!$E$2:$E$400,$A17,Diario!$C$2:$C$400,G$1,Diario!$J$2:$J$400,"BI- Monetaria")</f>
        <v>147.0</v>
      </c>
      <c r="H17" s="2">
        <f>SUMIFS(Diario!$G$2:$G$400,Diario!$E$2:$E$400,$A17,Diario!$C$2:$C$400,H$1,Diario!$J$2:$J$400,"BI- Monetaria")</f>
        <v>0</v>
      </c>
      <c r="I17" s="2">
        <f>SUMIFS(Diario!$G$2:$G$400,Diario!$E$2:$E$400,$A17,Diario!$C$2:$C$400,I$1,Diario!$J$2:$J$400,"BI- Monetaria")</f>
        <v>0</v>
      </c>
      <c r="J17" s="2">
        <f>SUMIFS(Diario!$G$2:$G$400,Diario!$E$2:$E$400,$A17,Diario!$C$2:$C$400,J$1,Diario!$J$2:$J$400,"BI- Monetaria")</f>
        <v>0</v>
      </c>
      <c r="K17" s="2">
        <f>SUMIFS(Diario!$G$2:$G$400,Diario!$E$2:$E$400,$A17,Diario!$C$2:$C$400,K$1,Diario!$J$2:$J$400,"BI- Monetaria")</f>
        <v>0</v>
      </c>
      <c r="L17" s="2">
        <f>SUMIFS(Diario!$G$2:$G$400,Diario!$E$2:$E$400,$A17,Diario!$C$2:$C$400,L$1,Diario!$J$2:$J$400,"BI- Monetaria")</f>
        <v>0</v>
      </c>
      <c r="M17" s="2">
        <f>SUMIFS(Diario!$G$2:$G$400,Diario!$E$2:$E$400,$A17,Diario!$C$2:$C$400,M$1,Diario!$J$2:$J$400,"BI- Monetaria")</f>
        <v>0</v>
      </c>
      <c r="N17" s="2">
        <f>SUMIFS(Diario!$G$2:$G$400,Diario!$E$2:$E$400,$A17,Diario!$C$2:$C$400,N$1,Diario!$J$2:$J$400,"BI- Monetaria")</f>
        <v>0</v>
      </c>
      <c r="O17" s="3">
        <f>SUM(C17:N17)</f>
        <v>13440.93</v>
      </c>
      <c r="P17" s="2">
        <f>ROUND(O17/10,2)</f>
        <v>1344.09</v>
      </c>
    </row>
    <row r="18">
      <c r="A18" t="inlineStr" s="0">
        <is>
          <t>2102 - Provisiones Laborales</t>
        </is>
      </c>
      <c r="B18" t="inlineStr" s="0">
        <is>
          <t>Traspaso a BI-Ahorro</t>
        </is>
      </c>
      <c r="C18" s="2">
        <f>SUMIFS(Diario!$G$2:$G$400,Diario!$E$2:$E$400,$A18,Diario!$C$2:$C$400,C$1,Diario!$J$2:$J$400,"BI- Monetaria")</f>
        <v>9189.57</v>
      </c>
      <c r="D18" s="2">
        <f>SUMIFS(Diario!$G$2:$G$400,Diario!$E$2:$E$400,$A18,Diario!$C$2:$C$400,D$1,Diario!$J$2:$J$400,"BI- Monetaria")</f>
        <v>9156.92</v>
      </c>
      <c r="E18" s="2">
        <f>SUMIFS(Diario!$G$2:$G$400,Diario!$E$2:$E$400,$A18,Diario!$C$2:$C$400,E$1,Diario!$J$2:$J$400,"BI- Monetaria")</f>
        <v>14412.0</v>
      </c>
      <c r="F18" s="2">
        <f>SUMIFS(Diario!$G$2:$G$400,Diario!$E$2:$E$400,$A18,Diario!$C$2:$C$400,F$1,Diario!$J$2:$J$400,"BI- Monetaria")</f>
        <v>11552.0</v>
      </c>
      <c r="G18" s="2">
        <f>SUMIFS(Diario!$G$2:$G$400,Diario!$E$2:$E$400,$A18,Diario!$C$2:$C$400,G$1,Diario!$J$2:$J$400,"BI- Monetaria")</f>
        <v>18148.0</v>
      </c>
      <c r="H18" s="2">
        <f>SUMIFS(Diario!$G$2:$G$400,Diario!$E$2:$E$400,$A18,Diario!$C$2:$C$400,H$1,Diario!$J$2:$J$400,"BI- Monetaria")</f>
        <v>11552.0</v>
      </c>
      <c r="I18" s="2">
        <f>SUMIFS(Diario!$G$2:$G$400,Diario!$E$2:$E$400,$A18,Diario!$C$2:$C$400,I$1,Diario!$J$2:$J$400,"BI- Monetaria")</f>
        <v>11551.09</v>
      </c>
      <c r="J18" s="2">
        <f>SUMIFS(Diario!$G$2:$G$400,Diario!$E$2:$E$400,$A18,Diario!$C$2:$C$400,J$1,Diario!$J$2:$J$400,"BI- Monetaria")</f>
        <v>42000.0</v>
      </c>
      <c r="K18" s="2">
        <f>SUMIFS(Diario!$G$2:$G$400,Diario!$E$2:$E$400,$A18,Diario!$C$2:$C$400,K$1,Diario!$J$2:$J$400,"BI- Monetaria")</f>
        <v>11551.09</v>
      </c>
      <c r="L18" s="2">
        <f>SUMIFS(Diario!$G$2:$G$400,Diario!$E$2:$E$400,$A18,Diario!$C$2:$C$400,L$1,Diario!$J$2:$J$400,"BI- Monetaria")</f>
        <v>0</v>
      </c>
      <c r="M18" s="2">
        <f>SUMIFS(Diario!$G$2:$G$400,Diario!$E$2:$E$400,$A18,Diario!$C$2:$C$400,M$1,Diario!$J$2:$J$400,"BI- Monetaria")</f>
        <v>0</v>
      </c>
      <c r="N18" s="2">
        <f>SUMIFS(Diario!$G$2:$G$400,Diario!$E$2:$E$400,$A18,Diario!$C$2:$C$400,N$1,Diario!$J$2:$J$400,"BI- Monetaria")</f>
        <v>0</v>
      </c>
      <c r="O18" s="3">
        <f>SUM(C18:N18)</f>
        <v>139112.67</v>
      </c>
      <c r="P18" s="2">
        <f>ROUND(O18/10,2)</f>
        <v>13911.27</v>
      </c>
    </row>
    <row r="19">
      <c r="A19" t="inlineStr" s="0">
        <is>
          <t>2105 - ISR Retenciones por Pagar</t>
        </is>
      </c>
      <c r="B19" t="inlineStr" s="0">
        <is>
          <t>Gasto Fiscal</t>
        </is>
      </c>
      <c r="C19" s="2">
        <f>SUMIFS(Diario!$G$2:$G$400,Diario!$E$2:$E$400,$A19,Diario!$C$2:$C$400,C$1,Diario!$J$2:$J$400,"BI- Monetaria")</f>
        <v>0</v>
      </c>
      <c r="D19" s="2">
        <f>SUMIFS(Diario!$G$2:$G$400,Diario!$E$2:$E$400,$A19,Diario!$C$2:$C$400,D$1,Diario!$J$2:$J$400,"BI- Monetaria")</f>
        <v>375.85</v>
      </c>
      <c r="E19" s="2">
        <f>SUMIFS(Diario!$G$2:$G$400,Diario!$E$2:$E$400,$A19,Diario!$C$2:$C$400,E$1,Diario!$J$2:$J$400,"BI- Monetaria")</f>
        <v>376.0</v>
      </c>
      <c r="F19" s="2">
        <f>SUMIFS(Diario!$G$2:$G$400,Diario!$E$2:$E$400,$A19,Diario!$C$2:$C$400,F$1,Diario!$J$2:$J$400,"BI- Monetaria")</f>
        <v>375.85</v>
      </c>
      <c r="G19" s="2">
        <f>SUMIFS(Diario!$G$2:$G$400,Diario!$E$2:$E$400,$A19,Diario!$C$2:$C$400,G$1,Diario!$J$2:$J$400,"BI- Monetaria")</f>
        <v>375.85</v>
      </c>
      <c r="H19" s="2">
        <f>SUMIFS(Diario!$G$2:$G$400,Diario!$E$2:$E$400,$A19,Diario!$C$2:$C$400,H$1,Diario!$J$2:$J$400,"BI- Monetaria")</f>
        <v>0</v>
      </c>
      <c r="I19" s="2">
        <f>SUMIFS(Diario!$G$2:$G$400,Diario!$E$2:$E$400,$A19,Diario!$C$2:$C$400,I$1,Diario!$J$2:$J$400,"BI- Monetaria")</f>
        <v>751.73</v>
      </c>
      <c r="J19" s="2">
        <f>SUMIFS(Diario!$G$2:$G$400,Diario!$E$2:$E$400,$A19,Diario!$C$2:$C$400,J$1,Diario!$J$2:$J$400,"BI- Monetaria")</f>
        <v>375.85</v>
      </c>
      <c r="K19" s="2">
        <f>SUMIFS(Diario!$G$2:$G$400,Diario!$E$2:$E$400,$A19,Diario!$C$2:$C$400,K$1,Diario!$J$2:$J$400,"BI- Monetaria")</f>
        <v>0</v>
      </c>
      <c r="L19" s="2">
        <f>SUMIFS(Diario!$G$2:$G$400,Diario!$E$2:$E$400,$A19,Diario!$C$2:$C$400,L$1,Diario!$J$2:$J$400,"BI- Monetaria")</f>
        <v>375.85</v>
      </c>
      <c r="M19" s="2">
        <f>SUMIFS(Diario!$G$2:$G$400,Diario!$E$2:$E$400,$A19,Diario!$C$2:$C$400,M$1,Diario!$J$2:$J$400,"BI- Monetaria")</f>
        <v>0</v>
      </c>
      <c r="N19" s="2">
        <f>SUMIFS(Diario!$G$2:$G$400,Diario!$E$2:$E$400,$A19,Diario!$C$2:$C$400,N$1,Diario!$J$2:$J$400,"BI- Monetaria")</f>
        <v>0</v>
      </c>
      <c r="O19" s="3">
        <f>SUM(C19:N19)</f>
        <v>3006.98</v>
      </c>
      <c r="P19" s="2">
        <f>ROUND(O19/10,2)</f>
        <v>300.7</v>
      </c>
    </row>
    <row r="20">
      <c r="A20" t="inlineStr" s="0">
        <is>
          <t>5101 - Sueldos y Salarios</t>
        </is>
      </c>
      <c r="B20" t="inlineStr" s="0">
        <is>
          <t>Gasto Planilla</t>
        </is>
      </c>
      <c r="C20" s="2">
        <f>SUMIFS(Diario!$G$2:$G$400,Diario!$E$2:$E$400,$A20,Diario!$C$2:$C$400,C$1,Diario!$J$2:$J$400,"BI- Monetaria")</f>
        <v>27204.35</v>
      </c>
      <c r="D20" s="2">
        <f>SUMIFS(Diario!$G$2:$G$400,Diario!$E$2:$E$400,$A20,Diario!$C$2:$C$400,D$1,Diario!$J$2:$J$400,"BI- Monetaria")</f>
        <v>27254.35</v>
      </c>
      <c r="E20" s="2">
        <f>SUMIFS(Diario!$G$2:$G$400,Diario!$E$2:$E$400,$A20,Diario!$C$2:$C$400,E$1,Diario!$J$2:$J$400,"BI- Monetaria")</f>
        <v>27154.17</v>
      </c>
      <c r="F20" s="2">
        <f>SUMIFS(Diario!$G$2:$G$400,Diario!$E$2:$E$400,$A20,Diario!$C$2:$C$400,F$1,Diario!$J$2:$J$400,"BI- Monetaria")</f>
        <v>27154.17</v>
      </c>
      <c r="G20" s="2">
        <f>SUMIFS(Diario!$G$2:$G$400,Diario!$E$2:$E$400,$A20,Diario!$C$2:$C$400,G$1,Diario!$J$2:$J$400,"BI- Monetaria")</f>
        <v>27154.17</v>
      </c>
      <c r="H20" s="2">
        <f>SUMIFS(Diario!$G$2:$G$400,Diario!$E$2:$E$400,$A20,Diario!$C$2:$C$400,H$1,Diario!$J$2:$J$400,"BI- Monetaria")</f>
        <v>27144.07</v>
      </c>
      <c r="I20" s="2">
        <f>SUMIFS(Diario!$G$2:$G$400,Diario!$E$2:$E$400,$A20,Diario!$C$2:$C$400,I$1,Diario!$J$2:$J$400,"BI- Monetaria")</f>
        <v>27141.07</v>
      </c>
      <c r="J20" s="2">
        <f>SUMIFS(Diario!$G$2:$G$400,Diario!$E$2:$E$400,$A20,Diario!$C$2:$C$400,J$1,Diario!$J$2:$J$400,"BI- Monetaria")</f>
        <v>27141.07</v>
      </c>
      <c r="K20" s="2">
        <f>SUMIFS(Diario!$G$2:$G$400,Diario!$E$2:$E$400,$A20,Diario!$C$2:$C$400,K$1,Diario!$J$2:$J$400,"BI- Monetaria")</f>
        <v>27141.07</v>
      </c>
      <c r="L20" s="2">
        <f>SUMIFS(Diario!$G$2:$G$400,Diario!$E$2:$E$400,$A20,Diario!$C$2:$C$400,L$1,Diario!$J$2:$J$400,"BI- Monetaria")</f>
        <v>0</v>
      </c>
      <c r="M20" s="2">
        <f>SUMIFS(Diario!$G$2:$G$400,Diario!$E$2:$E$400,$A20,Diario!$C$2:$C$400,M$1,Diario!$J$2:$J$400,"BI- Monetaria")</f>
        <v>0</v>
      </c>
      <c r="N20" s="2">
        <f>SUMIFS(Diario!$G$2:$G$400,Diario!$E$2:$E$400,$A20,Diario!$C$2:$C$400,N$1,Diario!$J$2:$J$400,"BI- Monetaria")</f>
        <v>0</v>
      </c>
      <c r="O20" s="3">
        <f>SUM(C20:N20)</f>
        <v>244488.49</v>
      </c>
      <c r="P20" s="2">
        <f>ROUND(O20/10,2)</f>
        <v>24448.85</v>
      </c>
    </row>
    <row r="21">
      <c r="A21" t="inlineStr" s="0">
        <is>
          <t>5104 - Bono 14</t>
        </is>
      </c>
      <c r="B21" t="inlineStr" s="0">
        <is>
          <t>Gasto Planilla</t>
        </is>
      </c>
      <c r="C21" s="2">
        <f>SUMIFS(Diario!$G$2:$G$400,Diario!$E$2:$E$400,$A21,Diario!$C$2:$C$400,C$1,Diario!$J$2:$J$400,"BI- Monetaria")</f>
        <v>0</v>
      </c>
      <c r="D21" s="2">
        <f>SUMIFS(Diario!$G$2:$G$400,Diario!$E$2:$E$400,$A21,Diario!$C$2:$C$400,D$1,Diario!$J$2:$J$400,"BI- Monetaria")</f>
        <v>0</v>
      </c>
      <c r="E21" s="2">
        <f>SUMIFS(Diario!$G$2:$G$400,Diario!$E$2:$E$400,$A21,Diario!$C$2:$C$400,E$1,Diario!$J$2:$J$400,"BI- Monetaria")</f>
        <v>0</v>
      </c>
      <c r="F21" s="2">
        <f>SUMIFS(Diario!$G$2:$G$400,Diario!$E$2:$E$400,$A21,Diario!$C$2:$C$400,F$1,Diario!$J$2:$J$400,"BI- Monetaria")</f>
        <v>0</v>
      </c>
      <c r="G21" s="2">
        <f>SUMIFS(Diario!$G$2:$G$400,Diario!$E$2:$E$400,$A21,Diario!$C$2:$C$400,G$1,Diario!$J$2:$J$400,"BI- Monetaria")</f>
        <v>0</v>
      </c>
      <c r="H21" s="2">
        <f>SUMIFS(Diario!$G$2:$G$400,Diario!$E$2:$E$400,$A21,Diario!$C$2:$C$400,H$1,Diario!$J$2:$J$400,"BI- Monetaria")</f>
        <v>2000.0</v>
      </c>
      <c r="I21" s="2">
        <f>SUMIFS(Diario!$G$2:$G$400,Diario!$E$2:$E$400,$A21,Diario!$C$2:$C$400,I$1,Diario!$J$2:$J$400,"BI- Monetaria")</f>
        <v>0</v>
      </c>
      <c r="J21" s="2">
        <f>SUMIFS(Diario!$G$2:$G$400,Diario!$E$2:$E$400,$A21,Diario!$C$2:$C$400,J$1,Diario!$J$2:$J$400,"BI- Monetaria")</f>
        <v>0</v>
      </c>
      <c r="K21" s="2">
        <f>SUMIFS(Diario!$G$2:$G$400,Diario!$E$2:$E$400,$A21,Diario!$C$2:$C$400,K$1,Diario!$J$2:$J$400,"BI- Monetaria")</f>
        <v>0</v>
      </c>
      <c r="L21" s="2">
        <f>SUMIFS(Diario!$G$2:$G$400,Diario!$E$2:$E$400,$A21,Diario!$C$2:$C$400,L$1,Diario!$J$2:$J$400,"BI- Monetaria")</f>
        <v>0</v>
      </c>
      <c r="M21" s="2">
        <f>SUMIFS(Diario!$G$2:$G$400,Diario!$E$2:$E$400,$A21,Diario!$C$2:$C$400,M$1,Diario!$J$2:$J$400,"BI- Monetaria")</f>
        <v>0</v>
      </c>
      <c r="N21" s="2">
        <f>SUMIFS(Diario!$G$2:$G$400,Diario!$E$2:$E$400,$A21,Diario!$C$2:$C$400,N$1,Diario!$J$2:$J$400,"BI- Monetaria")</f>
        <v>0</v>
      </c>
      <c r="O21" s="3">
        <f>SUM(C21:N21)</f>
        <v>2000.0</v>
      </c>
      <c r="P21" s="2">
        <f>ROUND(O21/10,2)</f>
        <v>200.0</v>
      </c>
    </row>
    <row r="22">
      <c r="A22" t="inlineStr" s="0">
        <is>
          <t>5203 - Papelería, útiles y suministros</t>
        </is>
      </c>
      <c r="B22" t="inlineStr" s="0">
        <is>
          <t>Gasto Operativo</t>
        </is>
      </c>
      <c r="C22" s="2">
        <f>SUMIFS(Diario!$G$2:$G$400,Diario!$E$2:$E$400,$A22,Diario!$C$2:$C$400,C$1,Diario!$J$2:$J$400,"BI- Monetaria")</f>
        <v>780.0</v>
      </c>
      <c r="D22" s="2">
        <f>SUMIFS(Diario!$G$2:$G$400,Diario!$E$2:$E$400,$A22,Diario!$C$2:$C$400,D$1,Diario!$J$2:$J$400,"BI- Monetaria")</f>
        <v>0</v>
      </c>
      <c r="E22" s="2">
        <f>SUMIFS(Diario!$G$2:$G$400,Diario!$E$2:$E$400,$A22,Diario!$C$2:$C$400,E$1,Diario!$J$2:$J$400,"BI- Monetaria")</f>
        <v>1098.47</v>
      </c>
      <c r="F22" s="2">
        <f>SUMIFS(Diario!$G$2:$G$400,Diario!$E$2:$E$400,$A22,Diario!$C$2:$C$400,F$1,Diario!$J$2:$J$400,"BI- Monetaria")</f>
        <v>2024.0</v>
      </c>
      <c r="G22" s="2">
        <f>SUMIFS(Diario!$G$2:$G$400,Diario!$E$2:$E$400,$A22,Diario!$C$2:$C$400,G$1,Diario!$J$2:$J$400,"BI- Monetaria")</f>
        <v>210.8</v>
      </c>
      <c r="H22" s="2">
        <f>SUMIFS(Diario!$G$2:$G$400,Diario!$E$2:$E$400,$A22,Diario!$C$2:$C$400,H$1,Diario!$J$2:$J$400,"BI- Monetaria")</f>
        <v>0</v>
      </c>
      <c r="I22" s="2">
        <f>SUMIFS(Diario!$G$2:$G$400,Diario!$E$2:$E$400,$A22,Diario!$C$2:$C$400,I$1,Diario!$J$2:$J$400,"BI- Monetaria")</f>
        <v>455.9</v>
      </c>
      <c r="J22" s="2">
        <f>SUMIFS(Diario!$G$2:$G$400,Diario!$E$2:$E$400,$A22,Diario!$C$2:$C$400,J$1,Diario!$J$2:$J$400,"BI- Monetaria")</f>
        <v>0</v>
      </c>
      <c r="K22" s="2">
        <f>SUMIFS(Diario!$G$2:$G$400,Diario!$E$2:$E$400,$A22,Diario!$C$2:$C$400,K$1,Diario!$J$2:$J$400,"BI- Monetaria")</f>
        <v>245.0</v>
      </c>
      <c r="L22" s="2">
        <f>SUMIFS(Diario!$G$2:$G$400,Diario!$E$2:$E$400,$A22,Diario!$C$2:$C$400,L$1,Diario!$J$2:$J$400,"BI- Monetaria")</f>
        <v>0</v>
      </c>
      <c r="M22" s="2">
        <f>SUMIFS(Diario!$G$2:$G$400,Diario!$E$2:$E$400,$A22,Diario!$C$2:$C$400,M$1,Diario!$J$2:$J$400,"BI- Monetaria")</f>
        <v>0</v>
      </c>
      <c r="N22" s="2">
        <f>SUMIFS(Diario!$G$2:$G$400,Diario!$E$2:$E$400,$A22,Diario!$C$2:$C$400,N$1,Diario!$J$2:$J$400,"BI- Monetaria")</f>
        <v>0</v>
      </c>
      <c r="O22" s="3">
        <f>SUM(C22:N22)</f>
        <v>4814.17</v>
      </c>
      <c r="P22" s="2">
        <f>ROUND(O22/10,2)</f>
        <v>481.42</v>
      </c>
    </row>
    <row r="23">
      <c r="A23" t="inlineStr" s="0">
        <is>
          <t>5204 - Marketing y Publicidad</t>
        </is>
      </c>
      <c r="B23" t="inlineStr" s="0">
        <is>
          <t>Gasto Operativo</t>
        </is>
      </c>
      <c r="C23" s="2">
        <f>SUMIFS(Diario!$G$2:$G$400,Diario!$E$2:$E$400,$A23,Diario!$C$2:$C$400,C$1,Diario!$J$2:$J$400,"BI- Monetaria")</f>
        <v>0</v>
      </c>
      <c r="D23" s="2">
        <f>SUMIFS(Diario!$G$2:$G$400,Diario!$E$2:$E$400,$A23,Diario!$C$2:$C$400,D$1,Diario!$J$2:$J$400,"BI- Monetaria")</f>
        <v>0</v>
      </c>
      <c r="E23" s="2">
        <f>SUMIFS(Diario!$G$2:$G$400,Diario!$E$2:$E$400,$A23,Diario!$C$2:$C$400,E$1,Diario!$J$2:$J$400,"BI- Monetaria")</f>
        <v>0</v>
      </c>
      <c r="F23" s="2">
        <f>SUMIFS(Diario!$G$2:$G$400,Diario!$E$2:$E$400,$A23,Diario!$C$2:$C$400,F$1,Diario!$J$2:$J$400,"BI- Monetaria")</f>
        <v>0</v>
      </c>
      <c r="G23" s="2">
        <f>SUMIFS(Diario!$G$2:$G$400,Diario!$E$2:$E$400,$A23,Diario!$C$2:$C$400,G$1,Diario!$J$2:$J$400,"BI- Monetaria")</f>
        <v>1600.0</v>
      </c>
      <c r="H23" s="2">
        <f>SUMIFS(Diario!$G$2:$G$400,Diario!$E$2:$E$400,$A23,Diario!$C$2:$C$400,H$1,Diario!$J$2:$J$400,"BI- Monetaria")</f>
        <v>3150.0</v>
      </c>
      <c r="I23" s="2">
        <f>SUMIFS(Diario!$G$2:$G$400,Diario!$E$2:$E$400,$A23,Diario!$C$2:$C$400,I$1,Diario!$J$2:$J$400,"BI- Monetaria")</f>
        <v>2550.0</v>
      </c>
      <c r="J23" s="2">
        <f>SUMIFS(Diario!$G$2:$G$400,Diario!$E$2:$E$400,$A23,Diario!$C$2:$C$400,J$1,Diario!$J$2:$J$400,"BI- Monetaria")</f>
        <v>2550.0</v>
      </c>
      <c r="K23" s="2">
        <f>SUMIFS(Diario!$G$2:$G$400,Diario!$E$2:$E$400,$A23,Diario!$C$2:$C$400,K$1,Diario!$J$2:$J$400,"BI- Monetaria")</f>
        <v>1600.0</v>
      </c>
      <c r="L23" s="2">
        <f>SUMIFS(Diario!$G$2:$G$400,Diario!$E$2:$E$400,$A23,Diario!$C$2:$C$400,L$1,Diario!$J$2:$J$400,"BI- Monetaria")</f>
        <v>0</v>
      </c>
      <c r="M23" s="2">
        <f>SUMIFS(Diario!$G$2:$G$400,Diario!$E$2:$E$400,$A23,Diario!$C$2:$C$400,M$1,Diario!$J$2:$J$400,"BI- Monetaria")</f>
        <v>0</v>
      </c>
      <c r="N23" s="2">
        <f>SUMIFS(Diario!$G$2:$G$400,Diario!$E$2:$E$400,$A23,Diario!$C$2:$C$400,N$1,Diario!$J$2:$J$400,"BI- Monetaria")</f>
        <v>0</v>
      </c>
      <c r="O23" s="3">
        <f>SUM(C23:N23)</f>
        <v>11450.0</v>
      </c>
      <c r="P23" s="2">
        <f>ROUND(O23/10,2)</f>
        <v>1145.0</v>
      </c>
    </row>
    <row r="24">
      <c r="A24" t="inlineStr" s="0">
        <is>
          <t>5205 - Actividades y excursiones</t>
        </is>
      </c>
      <c r="B24" t="inlineStr" s="0">
        <is>
          <t>Gasto Operativo</t>
        </is>
      </c>
      <c r="C24" s="2">
        <f>SUMIFS(Diario!$G$2:$G$400,Diario!$E$2:$E$400,$A24,Diario!$C$2:$C$400,C$1,Diario!$J$2:$J$400,"BI- Monetaria")</f>
        <v>1264.0</v>
      </c>
      <c r="D24" s="2">
        <f>SUMIFS(Diario!$G$2:$G$400,Diario!$E$2:$E$400,$A24,Diario!$C$2:$C$400,D$1,Diario!$J$2:$J$400,"BI- Monetaria")</f>
        <v>115.0</v>
      </c>
      <c r="E24" s="2">
        <f>SUMIFS(Diario!$G$2:$G$400,Diario!$E$2:$E$400,$A24,Diario!$C$2:$C$400,E$1,Diario!$J$2:$J$400,"BI- Monetaria")</f>
        <v>0</v>
      </c>
      <c r="F24" s="2">
        <f>SUMIFS(Diario!$G$2:$G$400,Diario!$E$2:$E$400,$A24,Diario!$C$2:$C$400,F$1,Diario!$J$2:$J$400,"BI- Monetaria")</f>
        <v>150.0</v>
      </c>
      <c r="G24" s="2">
        <f>SUMIFS(Diario!$G$2:$G$400,Diario!$E$2:$E$400,$A24,Diario!$C$2:$C$400,G$1,Diario!$J$2:$J$400,"BI- Monetaria")</f>
        <v>642.87</v>
      </c>
      <c r="H24" s="2">
        <f>SUMIFS(Diario!$G$2:$G$400,Diario!$E$2:$E$400,$A24,Diario!$C$2:$C$400,H$1,Diario!$J$2:$J$400,"BI- Monetaria")</f>
        <v>1210.0</v>
      </c>
      <c r="I24" s="2">
        <f>SUMIFS(Diario!$G$2:$G$400,Diario!$E$2:$E$400,$A24,Diario!$C$2:$C$400,I$1,Diario!$J$2:$J$400,"BI- Monetaria")</f>
        <v>1640.9</v>
      </c>
      <c r="J24" s="2">
        <f>SUMIFS(Diario!$G$2:$G$400,Diario!$E$2:$E$400,$A24,Diario!$C$2:$C$400,J$1,Diario!$J$2:$J$400,"BI- Monetaria")</f>
        <v>0</v>
      </c>
      <c r="K24" s="2">
        <f>SUMIFS(Diario!$G$2:$G$400,Diario!$E$2:$E$400,$A24,Diario!$C$2:$C$400,K$1,Diario!$J$2:$J$400,"BI- Monetaria")</f>
        <v>260.0</v>
      </c>
      <c r="L24" s="2">
        <f>SUMIFS(Diario!$G$2:$G$400,Diario!$E$2:$E$400,$A24,Diario!$C$2:$C$400,L$1,Diario!$J$2:$J$400,"BI- Monetaria")</f>
        <v>0</v>
      </c>
      <c r="M24" s="2">
        <f>SUMIFS(Diario!$G$2:$G$400,Diario!$E$2:$E$400,$A24,Diario!$C$2:$C$400,M$1,Diario!$J$2:$J$400,"BI- Monetaria")</f>
        <v>0</v>
      </c>
      <c r="N24" s="2">
        <f>SUMIFS(Diario!$G$2:$G$400,Diario!$E$2:$E$400,$A24,Diario!$C$2:$C$400,N$1,Diario!$J$2:$J$400,"BI- Monetaria")</f>
        <v>0</v>
      </c>
      <c r="O24" s="3">
        <f>SUM(C24:N24)</f>
        <v>5282.77</v>
      </c>
      <c r="P24" s="2">
        <f>ROUND(O24/10,2)</f>
        <v>528.28</v>
      </c>
    </row>
    <row r="25">
      <c r="A25" t="inlineStr" s="0">
        <is>
          <t>5207 - Otros Gastos (No Deducibles)</t>
        </is>
      </c>
      <c r="B25" t="inlineStr" s="0">
        <is>
          <t>Gasto Operativo</t>
        </is>
      </c>
      <c r="C25" s="2">
        <f>SUMIFS(Diario!$G$2:$G$400,Diario!$E$2:$E$400,$A25,Diario!$C$2:$C$400,C$1,Diario!$J$2:$J$400,"BI- Monetaria")</f>
        <v>0</v>
      </c>
      <c r="D25" s="2">
        <f>SUMIFS(Diario!$G$2:$G$400,Diario!$E$2:$E$400,$A25,Diario!$C$2:$C$400,D$1,Diario!$J$2:$J$400,"BI- Monetaria")</f>
        <v>0</v>
      </c>
      <c r="E25" s="2">
        <f>SUMIFS(Diario!$G$2:$G$400,Diario!$E$2:$E$400,$A25,Diario!$C$2:$C$400,E$1,Diario!$J$2:$J$400,"BI- Monetaria")</f>
        <v>0</v>
      </c>
      <c r="F25" s="2">
        <f>SUMIFS(Diario!$G$2:$G$400,Diario!$E$2:$E$400,$A25,Diario!$C$2:$C$400,F$1,Diario!$J$2:$J$400,"BI- Monetaria")</f>
        <v>0</v>
      </c>
      <c r="G25" s="2">
        <f>SUMIFS(Diario!$G$2:$G$400,Diario!$E$2:$E$400,$A25,Diario!$C$2:$C$400,G$1,Diario!$J$2:$J$400,"BI- Monetaria")</f>
        <v>0</v>
      </c>
      <c r="H25" s="2">
        <f>SUMIFS(Diario!$G$2:$G$400,Diario!$E$2:$E$400,$A25,Diario!$C$2:$C$400,H$1,Diario!$J$2:$J$400,"BI- Monetaria")</f>
        <v>0</v>
      </c>
      <c r="I25" s="2">
        <f>SUMIFS(Diario!$G$2:$G$400,Diario!$E$2:$E$400,$A25,Diario!$C$2:$C$400,I$1,Diario!$J$2:$J$400,"BI- Monetaria")</f>
        <v>0</v>
      </c>
      <c r="J25" s="2">
        <f>SUMIFS(Diario!$G$2:$G$400,Diario!$E$2:$E$400,$A25,Diario!$C$2:$C$400,J$1,Diario!$J$2:$J$400,"BI- Monetaria")</f>
        <v>0</v>
      </c>
      <c r="K25" s="2">
        <f>SUMIFS(Diario!$G$2:$G$400,Diario!$E$2:$E$400,$A25,Diario!$C$2:$C$400,K$1,Diario!$J$2:$J$400,"BI- Monetaria")</f>
        <v>925.0</v>
      </c>
      <c r="L25" s="2">
        <f>SUMIFS(Diario!$G$2:$G$400,Diario!$E$2:$E$400,$A25,Diario!$C$2:$C$400,L$1,Diario!$J$2:$J$400,"BI- Monetaria")</f>
        <v>0</v>
      </c>
      <c r="M25" s="2">
        <f>SUMIFS(Diario!$G$2:$G$400,Diario!$E$2:$E$400,$A25,Diario!$C$2:$C$400,M$1,Diario!$J$2:$J$400,"BI- Monetaria")</f>
        <v>0</v>
      </c>
      <c r="N25" s="2">
        <f>SUMIFS(Diario!$G$2:$G$400,Diario!$E$2:$E$400,$A25,Diario!$C$2:$C$400,N$1,Diario!$J$2:$J$400,"BI- Monetaria")</f>
        <v>0</v>
      </c>
      <c r="O25" s="3">
        <f>SUM(C25:N25)</f>
        <v>925.0</v>
      </c>
      <c r="P25" s="2">
        <f>ROUND(O25/10,2)</f>
        <v>92.5</v>
      </c>
    </row>
    <row r="26">
      <c r="A26" t="inlineStr" s="0">
        <is>
          <t>5208 - Donaciones</t>
        </is>
      </c>
      <c r="B26" t="inlineStr" s="0">
        <is>
          <t>Gasto Operativo</t>
        </is>
      </c>
      <c r="C26" s="2">
        <f>SUMIFS(Diario!$G$2:$G$400,Diario!$E$2:$E$400,$A26,Diario!$C$2:$C$400,C$1,Diario!$J$2:$J$400,"BI- Monetaria")</f>
        <v>1700.0</v>
      </c>
      <c r="D26" s="2">
        <f>SUMIFS(Diario!$G$2:$G$400,Diario!$E$2:$E$400,$A26,Diario!$C$2:$C$400,D$1,Diario!$J$2:$J$400,"BI- Monetaria")</f>
        <v>1700.0</v>
      </c>
      <c r="E26" s="2">
        <f>SUMIFS(Diario!$G$2:$G$400,Diario!$E$2:$E$400,$A26,Diario!$C$2:$C$400,E$1,Diario!$J$2:$J$400,"BI- Monetaria")</f>
        <v>1700.0</v>
      </c>
      <c r="F26" s="2">
        <f>SUMIFS(Diario!$G$2:$G$400,Diario!$E$2:$E$400,$A26,Diario!$C$2:$C$400,F$1,Diario!$J$2:$J$400,"BI- Monetaria")</f>
        <v>1930.0</v>
      </c>
      <c r="G26" s="2">
        <f>SUMIFS(Diario!$G$2:$G$400,Diario!$E$2:$E$400,$A26,Diario!$C$2:$C$400,G$1,Diario!$J$2:$J$400,"BI- Monetaria")</f>
        <v>1930.0</v>
      </c>
      <c r="H26" s="2">
        <f>SUMIFS(Diario!$G$2:$G$400,Diario!$E$2:$E$400,$A26,Diario!$C$2:$C$400,H$1,Diario!$J$2:$J$400,"BI- Monetaria")</f>
        <v>1700.0</v>
      </c>
      <c r="I26" s="2">
        <f>SUMIFS(Diario!$G$2:$G$400,Diario!$E$2:$E$400,$A26,Diario!$C$2:$C$400,I$1,Diario!$J$2:$J$400,"BI- Monetaria")</f>
        <v>1700.0</v>
      </c>
      <c r="J26" s="2">
        <f>SUMIFS(Diario!$G$2:$G$400,Diario!$E$2:$E$400,$A26,Diario!$C$2:$C$400,J$1,Diario!$J$2:$J$400,"BI- Monetaria")</f>
        <v>1700.0</v>
      </c>
      <c r="K26" s="2">
        <f>SUMIFS(Diario!$G$2:$G$400,Diario!$E$2:$E$400,$A26,Diario!$C$2:$C$400,K$1,Diario!$J$2:$J$400,"BI- Monetaria")</f>
        <v>1700.0</v>
      </c>
      <c r="L26" s="2">
        <f>SUMIFS(Diario!$G$2:$G$400,Diario!$E$2:$E$400,$A26,Diario!$C$2:$C$400,L$1,Diario!$J$2:$J$400,"BI- Monetaria")</f>
        <v>0</v>
      </c>
      <c r="M26" s="2">
        <f>SUMIFS(Diario!$G$2:$G$400,Diario!$E$2:$E$400,$A26,Diario!$C$2:$C$400,M$1,Diario!$J$2:$J$400,"BI- Monetaria")</f>
        <v>0</v>
      </c>
      <c r="N26" s="2">
        <f>SUMIFS(Diario!$G$2:$G$400,Diario!$E$2:$E$400,$A26,Diario!$C$2:$C$400,N$1,Diario!$J$2:$J$400,"BI- Monetaria")</f>
        <v>0</v>
      </c>
      <c r="O26" s="3">
        <f>SUM(C26:N26)</f>
        <v>15760.0</v>
      </c>
      <c r="P26" s="2">
        <f>ROUND(O26/10,2)</f>
        <v>1576.0</v>
      </c>
    </row>
    <row r="27">
      <c r="A27" t="inlineStr" s="0">
        <is>
          <t>5209 - Honorarios profesionales</t>
        </is>
      </c>
      <c r="B27" t="inlineStr" s="0">
        <is>
          <t>Gasto Operativo</t>
        </is>
      </c>
      <c r="C27" s="2">
        <f>SUMIFS(Diario!$G$2:$G$400,Diario!$E$2:$E$400,$A27,Diario!$C$2:$C$400,C$1,Diario!$J$2:$J$400,"BI- Monetaria")</f>
        <v>0</v>
      </c>
      <c r="D27" s="2">
        <f>SUMIFS(Diario!$G$2:$G$400,Diario!$E$2:$E$400,$A27,Diario!$C$2:$C$400,D$1,Diario!$J$2:$J$400,"BI- Monetaria")</f>
        <v>2204.54</v>
      </c>
      <c r="E27" s="2">
        <f>SUMIFS(Diario!$G$2:$G$400,Diario!$E$2:$E$400,$A27,Diario!$C$2:$C$400,E$1,Diario!$J$2:$J$400,"BI- Monetaria")</f>
        <v>3114.54</v>
      </c>
      <c r="F27" s="2">
        <f>SUMIFS(Diario!$G$2:$G$400,Diario!$E$2:$E$400,$A27,Diario!$C$2:$C$400,F$1,Diario!$J$2:$J$400,"BI- Monetaria")</f>
        <v>4154.0</v>
      </c>
      <c r="G27" s="2">
        <f>SUMIFS(Diario!$G$2:$G$400,Diario!$E$2:$E$400,$A27,Diario!$C$2:$C$400,G$1,Diario!$J$2:$J$400,"BI- Monetaria")</f>
        <v>5008.0</v>
      </c>
      <c r="H27" s="2">
        <f>SUMIFS(Diario!$G$2:$G$400,Diario!$E$2:$E$400,$A27,Diario!$C$2:$C$400,H$1,Diario!$J$2:$J$400,"BI- Monetaria")</f>
        <v>2303.48</v>
      </c>
      <c r="I27" s="2">
        <f>SUMIFS(Diario!$G$2:$G$400,Diario!$E$2:$E$400,$A27,Diario!$C$2:$C$400,I$1,Diario!$J$2:$J$400,"BI- Monetaria")</f>
        <v>3154.0</v>
      </c>
      <c r="J27" s="2">
        <f>SUMIFS(Diario!$G$2:$G$400,Diario!$E$2:$E$400,$A27,Diario!$C$2:$C$400,J$1,Diario!$J$2:$J$400,"BI- Monetaria")</f>
        <v>350.0</v>
      </c>
      <c r="K27" s="2">
        <f>SUMIFS(Diario!$G$2:$G$400,Diario!$E$2:$E$400,$A27,Diario!$C$2:$C$400,K$1,Diario!$J$2:$J$400,"BI- Monetaria")</f>
        <v>1550.0</v>
      </c>
      <c r="L27" s="2">
        <f>SUMIFS(Diario!$G$2:$G$400,Diario!$E$2:$E$400,$A27,Diario!$C$2:$C$400,L$1,Diario!$J$2:$J$400,"BI- Monetaria")</f>
        <v>3258.0</v>
      </c>
      <c r="M27" s="2">
        <f>SUMIFS(Diario!$G$2:$G$400,Diario!$E$2:$E$400,$A27,Diario!$C$2:$C$400,M$1,Diario!$J$2:$J$400,"BI- Monetaria")</f>
        <v>0</v>
      </c>
      <c r="N27" s="2">
        <f>SUMIFS(Diario!$G$2:$G$400,Diario!$E$2:$E$400,$A27,Diario!$C$2:$C$400,N$1,Diario!$J$2:$J$400,"BI- Monetaria")</f>
        <v>0</v>
      </c>
      <c r="O27" s="3">
        <f>SUM(C27:N27)</f>
        <v>25096.56</v>
      </c>
      <c r="P27" s="2">
        <f>ROUND(O27/10,2)</f>
        <v>2509.66</v>
      </c>
    </row>
    <row r="28">
      <c r="A28" t="inlineStr" s="0">
        <is>
          <t>5210 - Impuestos, tasas y arbitrios</t>
        </is>
      </c>
      <c r="B28" t="inlineStr" s="0">
        <is>
          <t>Gasto Operativo</t>
        </is>
      </c>
      <c r="C28" s="2">
        <f>SUMIFS(Diario!$G$2:$G$400,Diario!$E$2:$E$400,$A28,Diario!$C$2:$C$400,C$1,Diario!$J$2:$J$400,"BI- Monetaria")</f>
        <v>0</v>
      </c>
      <c r="D28" s="2">
        <f>SUMIFS(Diario!$G$2:$G$400,Diario!$E$2:$E$400,$A28,Diario!$C$2:$C$400,D$1,Diario!$J$2:$J$400,"BI- Monetaria")</f>
        <v>400.0</v>
      </c>
      <c r="E28" s="2">
        <f>SUMIFS(Diario!$G$2:$G$400,Diario!$E$2:$E$400,$A28,Diario!$C$2:$C$400,E$1,Diario!$J$2:$J$400,"BI- Monetaria")</f>
        <v>18.0</v>
      </c>
      <c r="F28" s="2">
        <f>SUMIFS(Diario!$G$2:$G$400,Diario!$E$2:$E$400,$A28,Diario!$C$2:$C$400,F$1,Diario!$J$2:$J$400,"BI- Monetaria")</f>
        <v>250.0</v>
      </c>
      <c r="G28" s="2">
        <f>SUMIFS(Diario!$G$2:$G$400,Diario!$E$2:$E$400,$A28,Diario!$C$2:$C$400,G$1,Diario!$J$2:$J$400,"BI- Monetaria")</f>
        <v>15.0</v>
      </c>
      <c r="H28" s="2">
        <f>SUMIFS(Diario!$G$2:$G$400,Diario!$E$2:$E$400,$A28,Diario!$C$2:$C$400,H$1,Diario!$J$2:$J$400,"BI- Monetaria")</f>
        <v>15.0</v>
      </c>
      <c r="I28" s="2">
        <f>SUMIFS(Diario!$G$2:$G$400,Diario!$E$2:$E$400,$A28,Diario!$C$2:$C$400,I$1,Diario!$J$2:$J$400,"BI- Monetaria")</f>
        <v>15.0</v>
      </c>
      <c r="J28" s="2">
        <f>SUMIFS(Diario!$G$2:$G$400,Diario!$E$2:$E$400,$A28,Diario!$C$2:$C$400,J$1,Diario!$J$2:$J$400,"BI- Monetaria")</f>
        <v>15.0</v>
      </c>
      <c r="K28" s="2">
        <f>SUMIFS(Diario!$G$2:$G$400,Diario!$E$2:$E$400,$A28,Diario!$C$2:$C$400,K$1,Diario!$J$2:$J$400,"BI- Monetaria")</f>
        <v>15.0</v>
      </c>
      <c r="L28" s="2">
        <f>SUMIFS(Diario!$G$2:$G$400,Diario!$E$2:$E$400,$A28,Diario!$C$2:$C$400,L$1,Diario!$J$2:$J$400,"BI- Monetaria")</f>
        <v>15.0</v>
      </c>
      <c r="M28" s="2">
        <f>SUMIFS(Diario!$G$2:$G$400,Diario!$E$2:$E$400,$A28,Diario!$C$2:$C$400,M$1,Diario!$J$2:$J$400,"BI- Monetaria")</f>
        <v>0</v>
      </c>
      <c r="N28" s="2">
        <f>SUMIFS(Diario!$G$2:$G$400,Diario!$E$2:$E$400,$A28,Diario!$C$2:$C$400,N$1,Diario!$J$2:$J$400,"BI- Monetaria")</f>
        <v>0</v>
      </c>
      <c r="O28" s="3">
        <f>SUM(C28:N28)</f>
        <v>758.0</v>
      </c>
      <c r="P28" s="2">
        <f>ROUND(O28/10,2)</f>
        <v>75.8</v>
      </c>
    </row>
    <row r="29">
      <c r="A29" t="inlineStr" s="0">
        <is>
          <t>5212 - Telecomunicaciones e internet</t>
        </is>
      </c>
      <c r="B29" t="inlineStr" s="0">
        <is>
          <t>Gasto Operativo</t>
        </is>
      </c>
      <c r="C29" s="2">
        <f>SUMIFS(Diario!$G$2:$G$400,Diario!$E$2:$E$400,$A29,Diario!$C$2:$C$400,C$1,Diario!$J$2:$J$400,"BI- Monetaria")</f>
        <v>0</v>
      </c>
      <c r="D29" s="2">
        <f>SUMIFS(Diario!$G$2:$G$400,Diario!$E$2:$E$400,$A29,Diario!$C$2:$C$400,D$1,Diario!$J$2:$J$400,"BI- Monetaria")</f>
        <v>0</v>
      </c>
      <c r="E29" s="2">
        <f>SUMIFS(Diario!$G$2:$G$400,Diario!$E$2:$E$400,$A29,Diario!$C$2:$C$400,E$1,Diario!$J$2:$J$400,"BI- Monetaria")</f>
        <v>1379.87</v>
      </c>
      <c r="F29" s="2">
        <f>SUMIFS(Diario!$G$2:$G$400,Diario!$E$2:$E$400,$A29,Diario!$C$2:$C$400,F$1,Diario!$J$2:$J$400,"BI- Monetaria")</f>
        <v>520.87</v>
      </c>
      <c r="G29" s="2">
        <f>SUMIFS(Diario!$G$2:$G$400,Diario!$E$2:$E$400,$A29,Diario!$C$2:$C$400,G$1,Diario!$J$2:$J$400,"BI- Monetaria")</f>
        <v>520.57</v>
      </c>
      <c r="H29" s="2">
        <f>SUMIFS(Diario!$G$2:$G$400,Diario!$E$2:$E$400,$A29,Diario!$C$2:$C$400,H$1,Diario!$J$2:$J$400,"BI- Monetaria")</f>
        <v>519.66</v>
      </c>
      <c r="I29" s="2">
        <f>SUMIFS(Diario!$G$2:$G$400,Diario!$E$2:$E$400,$A29,Diario!$C$2:$C$400,I$1,Diario!$J$2:$J$400,"BI- Monetaria")</f>
        <v>804.96</v>
      </c>
      <c r="J29" s="2">
        <f>SUMIFS(Diario!$G$2:$G$400,Diario!$E$2:$E$400,$A29,Diario!$C$2:$C$400,J$1,Diario!$J$2:$J$400,"BI- Monetaria")</f>
        <v>519.96</v>
      </c>
      <c r="K29" s="2">
        <f>SUMIFS(Diario!$G$2:$G$400,Diario!$E$2:$E$400,$A29,Diario!$C$2:$C$400,K$1,Diario!$J$2:$J$400,"BI- Monetaria")</f>
        <v>519.96</v>
      </c>
      <c r="L29" s="2">
        <f>SUMIFS(Diario!$G$2:$G$400,Diario!$E$2:$E$400,$A29,Diario!$C$2:$C$400,L$1,Diario!$J$2:$J$400,"BI- Monetaria")</f>
        <v>235.27</v>
      </c>
      <c r="M29" s="2">
        <f>SUMIFS(Diario!$G$2:$G$400,Diario!$E$2:$E$400,$A29,Diario!$C$2:$C$400,M$1,Diario!$J$2:$J$400,"BI- Monetaria")</f>
        <v>0</v>
      </c>
      <c r="N29" s="2">
        <f>SUMIFS(Diario!$G$2:$G$400,Diario!$E$2:$E$400,$A29,Diario!$C$2:$C$400,N$1,Diario!$J$2:$J$400,"BI- Monetaria")</f>
        <v>0</v>
      </c>
      <c r="O29" s="3">
        <f>SUM(C29:N29)</f>
        <v>5021.12</v>
      </c>
      <c r="P29" s="2">
        <f>ROUND(O29/10,2)</f>
        <v>502.11</v>
      </c>
    </row>
    <row r="30" ht="20" customHeight="1">
      <c r="A30" t="inlineStr" s="10">
        <is>
          <t>TOTAL SALIDAS BI-MONETARIA</t>
        </is>
      </c>
      <c r="B30" t="inlineStr" s="10">
        <is>
          <t>Salidas</t>
        </is>
      </c>
      <c r="C30" s="11">
        <f>SUM(C15:C29)</f>
        <v>40137.92</v>
      </c>
      <c r="D30" s="11">
        <f>SUM(D15:D29)</f>
        <v>48486.66</v>
      </c>
      <c r="E30" s="11">
        <f>SUM(E15:E29)</f>
        <v>75074.48</v>
      </c>
      <c r="F30" s="11">
        <f>SUM(F15:F29)</f>
        <v>49815.89</v>
      </c>
      <c r="G30" s="11">
        <f>SUM(G15:G29)</f>
        <v>81037.26</v>
      </c>
      <c r="H30" s="11">
        <f>SUM(H15:H29)</f>
        <v>49594.21</v>
      </c>
      <c r="I30" s="11">
        <f>SUM(I15:I29)</f>
        <v>57444.65</v>
      </c>
      <c r="J30" s="11">
        <f>SUM(J15:J29)</f>
        <v>79400.46</v>
      </c>
      <c r="K30" s="11">
        <f>SUM(K15:K29)</f>
        <v>45507.12</v>
      </c>
      <c r="L30" s="11">
        <f>SUM(L15:L29)</f>
        <v>3884.12</v>
      </c>
      <c r="M30" s="11">
        <f>SUM(M15:M29)</f>
        <v>0</v>
      </c>
      <c r="N30" s="11">
        <f>SUM(N15:N29)</f>
        <v>0</v>
      </c>
      <c r="O30" s="11">
        <f>SUM(C30:N30)</f>
        <v>530382.77</v>
      </c>
      <c r="P30" s="11">
        <f>ROUND(O30/10,2)</f>
        <v>53038.28</v>
      </c>
    </row>
    <row r="31" ht="19" customHeight="1">
      <c r="A31" t="inlineStr" s="10">
        <is>
          <t>BALANCE Y SALDOS EN BANCOS</t>
        </is>
      </c>
      <c r="B31" t="inlineStr" s="10">
        <is>
          <t/>
        </is>
      </c>
    </row>
    <row r="32">
      <c r="A32" t="inlineStr" s="0">
        <is>
          <t>Flujo de caja mensual (Entradas - Salidas)</t>
        </is>
      </c>
      <c r="B32" t="inlineStr" s="0">
        <is>
          <t>Flujo Mes</t>
        </is>
      </c>
      <c r="C32" s="3">
        <f>ROUND(C13-C30,2)</f>
        <v>0</v>
      </c>
      <c r="D32" s="3">
        <f>ROUND(D13-D30,2)</f>
        <v>0</v>
      </c>
      <c r="E32" s="3">
        <f>ROUND(E13-E30,2)</f>
        <v>0</v>
      </c>
      <c r="F32" s="3">
        <f>ROUND(F13-F30,2)</f>
        <v>0</v>
      </c>
      <c r="G32" s="3">
        <f>ROUND(G13-G30,2)</f>
        <v>0</v>
      </c>
      <c r="H32" s="3">
        <f>ROUND(H13-H30,2)</f>
        <v>0</v>
      </c>
      <c r="I32" s="3">
        <f>ROUND(I13-I30,2)</f>
        <v>0</v>
      </c>
      <c r="J32" s="3">
        <f>ROUND(J13-J30,2)</f>
        <v>0</v>
      </c>
      <c r="K32" s="3">
        <f>ROUND(K13-K30,2)</f>
        <v>0</v>
      </c>
      <c r="L32" s="3">
        <f>ROUND(L13-L30,2)</f>
        <v>0</v>
      </c>
      <c r="M32" s="3">
        <f>ROUND(M13-M30,2)</f>
        <v>0</v>
      </c>
      <c r="N32" s="3">
        <f>ROUND(N13-N30,2)</f>
        <v>0</v>
      </c>
      <c r="O32" s="3">
        <f>ROUND(O13-O30,2)</f>
        <v>97531.05</v>
      </c>
      <c r="P32" s="2">
        <f>ROUND(O32/10,2)</f>
        <v>9753.11</v>
      </c>
    </row>
    <row r="33">
      <c r="A33" t="inlineStr" s="0">
        <is>
          <t>Saldo Acumulado Libro BI-Monetaria (Sin Intereses)</t>
        </is>
      </c>
      <c r="B33" t="inlineStr" s="0">
        <is>
          <t>1101 Libro</t>
        </is>
      </c>
      <c r="C33" s="3">
        <f>ROUND(C32,2)</f>
        <v>0</v>
      </c>
      <c r="D33" s="3">
        <f>ROUND(C33+D32,2)</f>
        <v>0</v>
      </c>
      <c r="E33" s="3">
        <f>ROUND(D33+E32,2)</f>
        <v>0</v>
      </c>
      <c r="F33" s="3">
        <f>ROUND(E33+F32,2)</f>
        <v>0</v>
      </c>
      <c r="G33" s="3">
        <f>ROUND(F33+G32,2)</f>
        <v>0</v>
      </c>
      <c r="H33" s="3">
        <f>ROUND(G33+H32,2)</f>
        <v>0</v>
      </c>
      <c r="I33" s="3">
        <f>ROUND(H33+I32,2)</f>
        <v>0</v>
      </c>
      <c r="J33" s="3">
        <f>ROUND(I33+J32,2)</f>
        <v>0</v>
      </c>
      <c r="K33" s="3">
        <f>ROUND(J33+K32,2)</f>
        <v>0</v>
      </c>
      <c r="L33" s="3">
        <f>ROUND(K33+L32,2)</f>
        <v>97531.05</v>
      </c>
      <c r="M33" s="3">
        <f>ROUND(L33+M32,2)</f>
        <v>97531.05</v>
      </c>
      <c r="N33" s="3">
        <f>ROUND(M33+N32,2)</f>
        <v>97531.05</v>
      </c>
      <c r="O33" s="3">
        <f>L33</f>
        <v>97531.05</v>
      </c>
      <c r="P33" t="inlineStr" s="0">
        <is>
          <t>Sin Intereses BI</t>
        </is>
      </c>
    </row>
    <row r="34">
      <c r="A34" t="inlineStr" s="0">
        <is>
          <t>(+) Intereses Bancarios Acumulados en Cuenta BI-Monetaria</t>
        </is>
      </c>
      <c r="B34" t="inlineStr" s="0">
        <is>
          <t>Intereses BI</t>
        </is>
      </c>
      <c r="C34" s="2">
        <f>Conciliación!D2</f>
        <v>0</v>
      </c>
      <c r="D34" s="2">
        <f>Conciliación!D3</f>
        <v>0</v>
      </c>
      <c r="E34" s="2">
        <f>Conciliación!D4</f>
        <v>0</v>
      </c>
      <c r="F34" s="2">
        <f>Conciliación!D5</f>
        <v>0</v>
      </c>
      <c r="G34" s="2">
        <f>Conciliación!D6</f>
        <v>0</v>
      </c>
      <c r="H34" s="2">
        <f>Conciliación!D7</f>
        <v>0</v>
      </c>
      <c r="I34" s="2">
        <f>Conciliación!D8</f>
        <v>0</v>
      </c>
      <c r="J34" s="2">
        <f>Conciliación!D9</f>
        <v>0</v>
      </c>
      <c r="K34" s="2">
        <f>Conciliación!D10</f>
        <v>0</v>
      </c>
      <c r="L34" s="2">
        <f>Conciliación!D11</f>
        <v>350.36</v>
      </c>
      <c r="M34" s="2">
        <v>0.0</v>
      </c>
      <c r="N34" s="2">
        <v>0.0</v>
      </c>
      <c r="O34" s="3">
        <f>L34</f>
        <v>350.36</v>
      </c>
      <c r="P34" t="inlineStr" s="0">
        <is>
          <t>Según Extracto</t>
        </is>
      </c>
    </row>
    <row r="35" ht="20" customHeight="1">
      <c r="A35" t="inlineStr" s="6">
        <is>
          <t>(=) TOTAL REAL EN CUENTA BI-MONETARIA (Con Intereses Extracto BI)</t>
        </is>
      </c>
      <c r="B35" t="inlineStr" s="6">
        <is>
          <t>1101 Real Banco</t>
        </is>
      </c>
      <c r="C35" s="5">
        <f>ROUND(C33+C34,2)</f>
        <v>0</v>
      </c>
      <c r="D35" s="5">
        <f>ROUND(D33+D34,2)</f>
        <v>0</v>
      </c>
      <c r="E35" s="5">
        <f>ROUND(E33+E34,2)</f>
        <v>0</v>
      </c>
      <c r="F35" s="5">
        <f>ROUND(F33+F34,2)</f>
        <v>0</v>
      </c>
      <c r="G35" s="5">
        <f>ROUND(G33+G34,2)</f>
        <v>0</v>
      </c>
      <c r="H35" s="5">
        <f>ROUND(H33+H34,2)</f>
        <v>0</v>
      </c>
      <c r="I35" s="5">
        <f>ROUND(I33+I34,2)</f>
        <v>0</v>
      </c>
      <c r="J35" s="5">
        <f>ROUND(J33+J34,2)</f>
        <v>0</v>
      </c>
      <c r="K35" s="5">
        <f>ROUND(K33+K34,2)</f>
        <v>0</v>
      </c>
      <c r="L35" s="5">
        <f>ROUND(L33+L34,2)</f>
        <v>97881.41</v>
      </c>
      <c r="M35" s="5">
        <f>ROUND(M33+M34,2)</f>
        <v>0</v>
      </c>
      <c r="N35" s="5">
        <f>ROUND(N33+N34,2)</f>
        <v>0</v>
      </c>
      <c r="O35" s="5">
        <f>ROUND(O33+O34,2)</f>
        <v>97881.41</v>
      </c>
      <c r="P35" t="inlineStr" s="6">
        <is>
          <t>Cuadrado con BI</t>
        </is>
      </c>
    </row>
    <row r="36">
      <c r="A36" t="inlineStr" s="4">
        <is>
          <t>(=) Disponible 2026 en Monetaria (Sin Inscripciones 2027 - Cuenta 2107)</t>
        </is>
      </c>
      <c r="B36" t="inlineStr" s="4">
        <is>
          <t>Libre 2026</t>
        </is>
      </c>
      <c r="C36" s="7">
        <f>ROUND(C35-SUM($C7:C7),2)</f>
        <v>0</v>
      </c>
      <c r="D36" s="7">
        <f>ROUND(D35-SUM($C7:D7),2)</f>
        <v>0</v>
      </c>
      <c r="E36" s="7">
        <f>ROUND(E35-SUM($C7:E7),2)</f>
        <v>0</v>
      </c>
      <c r="F36" s="7">
        <f>ROUND(F35-SUM($C7:F7),2)</f>
        <v>0</v>
      </c>
      <c r="G36" s="7">
        <f>ROUND(G35-SUM($C7:G7),2)</f>
        <v>0</v>
      </c>
      <c r="H36" s="7">
        <f>ROUND(H35-SUM($C7:H7),2)</f>
        <v>0</v>
      </c>
      <c r="I36" s="7">
        <f>ROUND(I35-SUM($C7:I7),2)</f>
        <v>0</v>
      </c>
      <c r="J36" s="7">
        <f>ROUND(J35-SUM($C7:J7),2)</f>
        <v>0</v>
      </c>
      <c r="K36" s="7">
        <f>ROUND(K35-SUM($C7:K7),2)</f>
        <v>0</v>
      </c>
      <c r="L36" s="7">
        <f>ROUND(L35-SUM($C7:L7),2)</f>
        <v>88731.41</v>
      </c>
      <c r="M36" s="7">
        <f>ROUND(M35-SUM($C7:M7),2)</f>
        <v>0</v>
      </c>
      <c r="N36" s="7">
        <f>ROUND(N35-SUM($C7:N7),2)</f>
        <v>0</v>
      </c>
      <c r="O36" s="7">
        <f>ROUND(O35-O7,2)</f>
        <v>88731.41</v>
      </c>
      <c r="P36" t="inlineStr" s="4">
        <is>
          <t>Sin Pasivo 2027</t>
        </is>
      </c>
    </row>
    <row r="37">
      <c r="A37" t="inlineStr" s="0">
        <is>
          <t>(-) Pagos de IGSS y Bono 14 ejecutados desde BI-Ahorro</t>
        </is>
      </c>
      <c r="B37" t="inlineStr" s="0">
        <is>
          <t>Salidas Ahorro</t>
        </is>
      </c>
      <c r="C37" s="2">
        <f>SUMIFS(Diario!$G$2:$G$400,Diario!$J$2:$J$400,"BI-Ahorro",Diario!$C$2:$C$400,C$1)</f>
        <v>0</v>
      </c>
      <c r="D37" s="2">
        <f>SUMIFS(Diario!$G$2:$G$400,Diario!$J$2:$J$400,"BI-Ahorro",Diario!$C$2:$C$400,D$1)</f>
        <v>0</v>
      </c>
      <c r="E37" s="2">
        <f>SUMIFS(Diario!$G$2:$G$400,Diario!$J$2:$J$400,"BI-Ahorro",Diario!$C$2:$C$400,E$1)</f>
        <v>0</v>
      </c>
      <c r="F37" s="2">
        <f>SUMIFS(Diario!$G$2:$G$400,Diario!$J$2:$J$400,"BI-Ahorro",Diario!$C$2:$C$400,F$1)</f>
        <v>0</v>
      </c>
      <c r="G37" s="2">
        <f>SUMIFS(Diario!$G$2:$G$400,Diario!$J$2:$J$400,"BI-Ahorro",Diario!$C$2:$C$400,G$1)</f>
        <v>18216.0</v>
      </c>
      <c r="H37" s="2">
        <f>SUMIFS(Diario!$G$2:$G$400,Diario!$J$2:$J$400,"BI-Ahorro",Diario!$C$2:$C$400,H$1)</f>
        <v>27600.0</v>
      </c>
      <c r="I37" s="2">
        <f>SUMIFS(Diario!$G$2:$G$400,Diario!$J$2:$J$400,"BI-Ahorro",Diario!$C$2:$C$400,I$1)</f>
        <v>0</v>
      </c>
      <c r="J37" s="2">
        <f>SUMIFS(Diario!$G$2:$G$400,Diario!$J$2:$J$400,"BI-Ahorro",Diario!$C$2:$C$400,J$1)</f>
        <v>0</v>
      </c>
      <c r="K37" s="2">
        <f>SUMIFS(Diario!$G$2:$G$400,Diario!$J$2:$J$400,"BI-Ahorro",Diario!$C$2:$C$400,K$1)</f>
        <v>4278.0</v>
      </c>
      <c r="L37" s="2">
        <f>SUMIFS(Diario!$G$2:$G$400,Diario!$J$2:$J$400,"BI-Ahorro",Diario!$C$2:$C$400,L$1)</f>
        <v>0</v>
      </c>
      <c r="M37" s="2">
        <f>SUMIFS(Diario!$G$2:$G$400,Diario!$J$2:$J$400,"BI-Ahorro",Diario!$C$2:$C$400,M$1)</f>
        <v>0</v>
      </c>
      <c r="N37" s="2">
        <f>SUMIFS(Diario!$G$2:$G$400,Diario!$J$2:$J$400,"BI-Ahorro",Diario!$C$2:$C$400,N$1)</f>
        <v>0</v>
      </c>
      <c r="O37" s="3">
        <f>SUM(C37:N37)</f>
        <v>50094.0</v>
      </c>
      <c r="P37" s="2">
        <f>ROUND(O37/10,2)</f>
        <v>5009.4</v>
      </c>
    </row>
    <row r="38" ht="20" customHeight="1">
      <c r="A38" t="inlineStr" s="6">
        <is>
          <t>(=) SALDO ACUMULADO CUENTA BI-AHORRO (Reserva Prestaciones e IGSS)</t>
        </is>
      </c>
      <c r="B38" t="inlineStr" s="6">
        <is>
          <t>1102 BI-Ahorro</t>
        </is>
      </c>
      <c r="C38" s="5">
        <f>ROUND(C18-C37,2)</f>
        <v>0</v>
      </c>
      <c r="D38" s="5">
        <f>ROUND(C38+D18-D37,2)</f>
        <v>0</v>
      </c>
      <c r="E38" s="5">
        <f>ROUND(D38+E18-E37,2)</f>
        <v>0</v>
      </c>
      <c r="F38" s="5">
        <f>ROUND(E38+F18-F37,2)</f>
        <v>0</v>
      </c>
      <c r="G38" s="5">
        <f>ROUND(F38+G18-G37,2)</f>
        <v>0</v>
      </c>
      <c r="H38" s="5">
        <f>ROUND(G38+H18-H37,2)</f>
        <v>0</v>
      </c>
      <c r="I38" s="5">
        <f>ROUND(H38+I18-I37,2)</f>
        <v>0</v>
      </c>
      <c r="J38" s="5">
        <f>ROUND(I38+J18-J37,2)</f>
        <v>0</v>
      </c>
      <c r="K38" s="5">
        <f>ROUND(J38+K18-K37,2)</f>
        <v>89018.67</v>
      </c>
      <c r="L38" s="5">
        <f>ROUND(K38+L18-L37,2)</f>
        <v>89018.67</v>
      </c>
      <c r="M38" s="5">
        <f>ROUND(L38+M18-M37,2)</f>
        <v>89018.67</v>
      </c>
      <c r="N38" s="5">
        <f>ROUND(M38+N18-N37,2)</f>
        <v>89018.67</v>
      </c>
      <c r="O38" s="5">
        <f>ROUND(O18-O37,2)</f>
        <v>89018.67</v>
      </c>
      <c r="P38" t="inlineStr" s="6">
        <is>
          <t>Fondo Reserva</t>
        </is>
      </c>
    </row>
  </sheetData>
</worksheet>
</file>

<file path=xl/worksheets/sheet6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44" customWidth="1"/>
    <col min="2" max="2" width="20" customWidth="1"/>
    <col min="3" max="3" width="18" customWidth="1"/>
    <col min="4" max="4" width="22" customWidth="1"/>
    <col min="5" max="5" width="24" customWidth="1"/>
    <col min="6" max="6" width="24" customWidth="1"/>
    <col min="7" max="7" width="22" customWidth="1"/>
  </cols>
  <sheetData>
    <row r="1" ht="22" customHeight="1">
      <c r="A1" t="inlineStr" s="9">
        <is>
          <t>PRESUPUESTO ANUAL 2027 - CENTRO EDUCATIVO ALTUS</t>
        </is>
      </c>
    </row>
    <row r="2" ht="22" customHeight="1">
      <c r="A2" t="inlineStr" s="1">
        <is>
          <t>Partida Contable SAT</t>
        </is>
      </c>
      <c r="B2" t="inlineStr" s="1">
        <is>
          <t>Tipo</t>
        </is>
      </c>
      <c r="C2" t="inlineStr" s="1">
        <is>
          <t>Enero 2027 (Q)</t>
        </is>
      </c>
      <c r="D2" t="inlineStr" s="1">
        <is>
          <t>Mensual Feb-Dic 2027 (Q)</t>
        </is>
      </c>
      <c r="E2" t="inlineStr" s="1">
        <is>
          <t>Presupuesto Anual 2027 (Q)</t>
        </is>
      </c>
      <c r="F2" t="inlineStr" s="1">
        <is>
          <t>Ejecutado Real 2026 a Oct (Q)</t>
        </is>
      </c>
      <c r="G2" t="inlineStr" s="1">
        <is>
          <t>Diferencia Presupuesto vs 2026 (Q)</t>
        </is>
      </c>
    </row>
    <row r="3">
      <c r="A3" t="inlineStr" s="0">
        <is>
          <t>4101 - Inscripciones</t>
        </is>
      </c>
      <c r="B3" t="inlineStr" s="0">
        <is>
          <t>Ingreso</t>
        </is>
      </c>
      <c r="C3" s="2">
        <v>115000.0</v>
      </c>
      <c r="D3" s="2">
        <v>2727.27</v>
      </c>
      <c r="E3" s="3">
        <f>ROUND(C3+(D3*11),2)</f>
        <v>144999.97</v>
      </c>
      <c r="F3" s="2">
        <f>SUMIFS(Diario!$G$2:$G$400,Diario!$E$2:$E$400,"4101*")</f>
        <v>74300.06</v>
      </c>
      <c r="G3" s="2">
        <f>ROUND(E3-F3,2)</f>
        <v>70699.91</v>
      </c>
    </row>
    <row r="4">
      <c r="A4" t="inlineStr" s="0">
        <is>
          <t>4102 - Colegiaturas Mensuales</t>
        </is>
      </c>
      <c r="B4" t="inlineStr" s="0">
        <is>
          <t>Ingreso</t>
        </is>
      </c>
      <c r="C4" s="2">
        <v>109350.0</v>
      </c>
      <c r="D4" s="2">
        <v>109350.0</v>
      </c>
      <c r="E4" s="3">
        <f>ROUND(C4+(D4*11),2)</f>
        <v>1312200.0</v>
      </c>
      <c r="F4" s="2">
        <f>SUMIFS(Diario!$G$2:$G$400,Diario!$E$2:$E$400,"4102*")</f>
        <v>461602.94</v>
      </c>
      <c r="G4" s="2">
        <f>ROUND(E4-F4,2)</f>
        <v>850597.06</v>
      </c>
    </row>
    <row r="5">
      <c r="A5" t="inlineStr" s="0">
        <is>
          <t>4203 - Donaciones recibidas</t>
        </is>
      </c>
      <c r="B5" t="inlineStr" s="0">
        <is>
          <t>Ingreso</t>
        </is>
      </c>
      <c r="C5" s="2">
        <v>5000.0</v>
      </c>
      <c r="D5" s="2">
        <v>5000.0</v>
      </c>
      <c r="E5" s="3">
        <f>ROUND(C5+(D5*11),2)</f>
        <v>60000.0</v>
      </c>
      <c r="F5" s="2">
        <f>SUMIFS(Diario!$G$2:$G$400,Diario!$E$2:$E$400,"4203*")</f>
        <v>64436.9</v>
      </c>
      <c r="G5" s="2">
        <f>ROUND(E5-F5,2)</f>
        <v>-4436.9</v>
      </c>
    </row>
    <row r="6">
      <c r="A6" t="inlineStr" s="0">
        <is>
          <t>5101 - Sueldos y Salarios (Equipo 1 y 2 + Admón)</t>
        </is>
      </c>
      <c r="B6" t="inlineStr" s="0">
        <is>
          <t>Gasto</t>
        </is>
      </c>
      <c r="C6" s="2">
        <v>68500.0</v>
      </c>
      <c r="D6" s="2">
        <v>68500.0</v>
      </c>
      <c r="E6" s="3">
        <f>ROUND(C6+(D6*11),2)</f>
        <v>822000.0</v>
      </c>
      <c r="F6" s="2">
        <f>SUMIFS(Diario!$G$2:$G$400,Diario!$E$2:$E$400,"5101*")</f>
        <v>244488.49</v>
      </c>
      <c r="G6" s="2">
        <f>ROUND(E6-F6,2)</f>
        <v>577511.51</v>
      </c>
    </row>
    <row r="7">
      <c r="A7" t="inlineStr" s="0">
        <is>
          <t>2102 - Reserva Mensual Prestaciones e IGSS (Ahorro)</t>
        </is>
      </c>
      <c r="B7" t="inlineStr" s="0">
        <is>
          <t>Provisión Ahorro</t>
        </is>
      </c>
      <c r="C7" s="2">
        <v>24500.0</v>
      </c>
      <c r="D7" s="2">
        <v>24500.0</v>
      </c>
      <c r="E7" s="3">
        <f>ROUND(C7+(D7*11),2)</f>
        <v>294000.0</v>
      </c>
      <c r="F7" s="2">
        <f>SUMIFS(Diario!$G$2:$G$400,Diario!$E$2:$E$400,"2102*")</f>
        <v>139112.67</v>
      </c>
      <c r="G7" s="2">
        <f>ROUND(E7-F7,2)</f>
        <v>154887.33</v>
      </c>
    </row>
    <row r="8">
      <c r="A8" t="inlineStr" s="0">
        <is>
          <t>5201 - Alquiler e Instalaciones</t>
        </is>
      </c>
      <c r="B8" t="inlineStr" s="0">
        <is>
          <t>Gasto</t>
        </is>
      </c>
      <c r="C8" s="2">
        <v>4500.0</v>
      </c>
      <c r="D8" s="2">
        <v>4500.0</v>
      </c>
      <c r="E8" s="3">
        <f>ROUND(C8+(D8*11),2)</f>
        <v>54000.0</v>
      </c>
      <c r="F8" s="2">
        <f>SUMIFS(Diario!$G$2:$G$400,Diario!$E$2:$E$400,"5201*")</f>
        <v>0.0</v>
      </c>
      <c r="G8" s="2">
        <f>ROUND(E8-F8,2)</f>
        <v>54000.0</v>
      </c>
    </row>
    <row r="9">
      <c r="A9" t="inlineStr" s="0">
        <is>
          <t>5203 - Papelería, útiles y suministros</t>
        </is>
      </c>
      <c r="B9" t="inlineStr" s="0">
        <is>
          <t>Gasto</t>
        </is>
      </c>
      <c r="C9" s="2">
        <v>2500.0</v>
      </c>
      <c r="D9" s="2">
        <v>1200.0</v>
      </c>
      <c r="E9" s="3">
        <f>ROUND(C9+(D9*11),2)</f>
        <v>15700.0</v>
      </c>
      <c r="F9" s="2">
        <f>SUMIFS(Diario!$G$2:$G$400,Diario!$E$2:$E$400,"5203*")</f>
        <v>6347.97</v>
      </c>
      <c r="G9" s="2">
        <f>ROUND(E9-F9,2)</f>
        <v>9352.03</v>
      </c>
    </row>
    <row r="10">
      <c r="A10" t="inlineStr" s="0">
        <is>
          <t>5204 - Marketing y Publicidad</t>
        </is>
      </c>
      <c r="B10" t="inlineStr" s="0">
        <is>
          <t>Gasto</t>
        </is>
      </c>
      <c r="C10" s="2">
        <v>2500.0</v>
      </c>
      <c r="D10" s="2">
        <v>2050.0</v>
      </c>
      <c r="E10" s="3">
        <f>ROUND(C10+(D10*11),2)</f>
        <v>25050.0</v>
      </c>
      <c r="F10" s="2">
        <f>SUMIFS(Diario!$G$2:$G$400,Diario!$E$2:$E$400,"5204*")</f>
        <v>6350.0</v>
      </c>
      <c r="G10" s="2">
        <f>ROUND(E10-F10,2)</f>
        <v>18700.0</v>
      </c>
    </row>
    <row r="11">
      <c r="A11" t="inlineStr" s="0">
        <is>
          <t>5205 - Actividades y excursiones</t>
        </is>
      </c>
      <c r="B11" t="inlineStr" s="0">
        <is>
          <t>Gasto</t>
        </is>
      </c>
      <c r="C11" s="2">
        <v>1000.0</v>
      </c>
      <c r="D11" s="2">
        <v>1000.0</v>
      </c>
      <c r="E11" s="3">
        <f>ROUND(C11+(D11*11),2)</f>
        <v>12000.0</v>
      </c>
      <c r="F11" s="2">
        <f>SUMIFS(Diario!$G$2:$G$400,Diario!$E$2:$E$400,"5205*")</f>
        <v>6276.87</v>
      </c>
      <c r="G11" s="2">
        <f>ROUND(E11-F11,2)</f>
        <v>5723.13</v>
      </c>
    </row>
    <row r="12">
      <c r="A12" t="inlineStr" s="0">
        <is>
          <t>5208 - Donaciones (Fundación Waybi)</t>
        </is>
      </c>
      <c r="B12" t="inlineStr" s="0">
        <is>
          <t>Gasto</t>
        </is>
      </c>
      <c r="C12" s="2">
        <v>1700.0</v>
      </c>
      <c r="D12" s="2">
        <v>1700.0</v>
      </c>
      <c r="E12" s="3">
        <f>ROUND(C12+(D12*11),2)</f>
        <v>20400.0</v>
      </c>
      <c r="F12" s="2">
        <f>SUMIFS(Diario!$G$2:$G$400,Diario!$E$2:$E$400,"5208*")</f>
        <v>15760.0</v>
      </c>
      <c r="G12" s="2">
        <f>ROUND(E12-F12,2)</f>
        <v>4640.0</v>
      </c>
    </row>
    <row r="13">
      <c r="A13" t="inlineStr" s="0">
        <is>
          <t>5209 - Honorarios profesionales</t>
        </is>
      </c>
      <c r="B13" t="inlineStr" s="0">
        <is>
          <t>Gasto</t>
        </is>
      </c>
      <c r="C13" s="2">
        <v>3800.0</v>
      </c>
      <c r="D13" s="2">
        <v>3800.0</v>
      </c>
      <c r="E13" s="3">
        <f>ROUND(C13+(D13*11),2)</f>
        <v>45600.0</v>
      </c>
      <c r="F13" s="2">
        <f>SUMIFS(Diario!$G$2:$G$400,Diario!$E$2:$E$400,"5209*")</f>
        <v>38826.56</v>
      </c>
      <c r="G13" s="2">
        <f>ROUND(E13-F13,2)</f>
        <v>6773.44</v>
      </c>
    </row>
    <row r="14">
      <c r="A14" t="inlineStr" s="0">
        <is>
          <t>5210 - Impuestos, tasas y arbitrios</t>
        </is>
      </c>
      <c r="B14" t="inlineStr" s="0">
        <is>
          <t>Gasto</t>
        </is>
      </c>
      <c r="C14" s="2">
        <v>500.0</v>
      </c>
      <c r="D14" s="2">
        <v>400.0</v>
      </c>
      <c r="E14" s="3">
        <f>ROUND(C14+(D14*11),2)</f>
        <v>4900.0</v>
      </c>
      <c r="F14" s="2">
        <f>SUMIFS(Diario!$G$2:$G$400,Diario!$E$2:$E$400,"5210*")</f>
        <v>668.0</v>
      </c>
      <c r="G14" s="2">
        <f>ROUND(E14-F14,2)</f>
        <v>4232.0</v>
      </c>
    </row>
    <row r="15">
      <c r="A15" t="inlineStr" s="0">
        <is>
          <t>5212 - Telecomunicaciones e internet</t>
        </is>
      </c>
      <c r="B15" t="inlineStr" s="0">
        <is>
          <t>Gasto</t>
        </is>
      </c>
      <c r="C15" s="2">
        <v>850.0</v>
      </c>
      <c r="D15" s="2">
        <v>850.0</v>
      </c>
      <c r="E15" s="3">
        <f>ROUND(C15+(D15*11),2)</f>
        <v>10200.0</v>
      </c>
      <c r="F15" s="2">
        <f>SUMIFS(Diario!$G$2:$G$400,Diario!$E$2:$E$400,"5212*")</f>
        <v>7765.81</v>
      </c>
      <c r="G15" s="2">
        <f>ROUND(E15-F15,2)</f>
        <v>2434.19</v>
      </c>
    </row>
    <row r="16" ht="20" customHeight="1">
      <c r="A16" t="inlineStr" s="6">
        <is>
          <t>TOTAL INGRESOS PROYECTADOS 2027</t>
        </is>
      </c>
      <c r="B16" t="inlineStr" s="6">
        <is>
          <t>Ingreso</t>
        </is>
      </c>
      <c r="C16" s="5">
        <f>SUMIF(B3:B15,"Ingreso",C3:C15)</f>
        <v>229350.0</v>
      </c>
      <c r="D16" s="5">
        <f>SUMIF(B3:B15,"Ingreso",D3:D15)</f>
        <v>117077.27</v>
      </c>
      <c r="E16" s="5">
        <f>SUMIF(B3:B15,"Ingreso",E3:E15)</f>
        <v>1517200.0</v>
      </c>
      <c r="F16" s="5">
        <f>SUMIF(B3:B15,"Ingreso",F3:F15)</f>
        <v>600339.9</v>
      </c>
      <c r="G16" s="5">
        <f>ROUND(E16-F16,2)</f>
        <v>916860.1</v>
      </c>
    </row>
    <row r="17" ht="20" customHeight="1">
      <c r="A17" t="inlineStr" s="10">
        <is>
          <t>TOTAL GASTOS Y RESERVAS PROYECTADOS 2027</t>
        </is>
      </c>
      <c r="B17" t="inlineStr" s="10">
        <is>
          <t>Gasto + Reserva</t>
        </is>
      </c>
      <c r="C17" s="11">
        <f>ROUND(SUM(C3:C15)-C16,2)</f>
        <v>110350.0</v>
      </c>
      <c r="D17" s="11">
        <f>ROUND(SUM(D3:D15)-D16,2)</f>
        <v>108500.0</v>
      </c>
      <c r="E17" s="11">
        <f>ROUND(SUM(E3:E15)-E16,2)</f>
        <v>1303850.0</v>
      </c>
      <c r="F17" s="11">
        <f>ROUND(SUM(F3:F15)-F16,2)</f>
        <v>465596.37</v>
      </c>
      <c r="G17" s="11">
        <f>ROUND(E17-F17,2)</f>
        <v>838253.63</v>
      </c>
    </row>
    <row r="18" ht="21" customHeight="1">
      <c r="A18" t="inlineStr" s="6">
        <is>
          <t>RESULTADO NETO PROYECTADO 2027</t>
        </is>
      </c>
      <c r="B18" t="inlineStr" s="6">
        <is>
          <t>Superávit 2027</t>
        </is>
      </c>
      <c r="C18" s="5">
        <f>ROUND(C16-C17,2)</f>
        <v>119000.0</v>
      </c>
      <c r="D18" s="5">
        <f>ROUND(D16-D17,2)</f>
        <v>8577.27</v>
      </c>
      <c r="E18" s="5">
        <f>ROUND(E16-E17,2)</f>
        <v>213350.0</v>
      </c>
      <c r="F18" s="5">
        <f>ROUND(F16-F17,2)</f>
        <v>134743.53</v>
      </c>
      <c r="G18" s="5">
        <f>ROUND(E18-F18,2)</f>
        <v>78606.47</v>
      </c>
    </row>
    <row r="20" ht="20" customHeight="1">
      <c r="A20" t="inlineStr" s="4">
        <is>
          <t>2107 - Anticipo de inscripciones 2027 ya cobradas en 2026 (Pasivo Diferido)</t>
        </is>
      </c>
      <c r="B20" t="inlineStr" s="4">
        <is>
          <t>Pasivo 2027</t>
        </is>
      </c>
      <c r="C20" s="7">
        <f>SUMIFS(Diario!$G$2:$G$400,Diario!$E$2:$E$400,"2107 - Anticipo de inscripciones")</f>
        <v>9150.0</v>
      </c>
      <c r="D20" t="inlineStr" s="4">
        <is>
          <t>Pasa a Ingreso 4101 el 01/01/2027</t>
        </is>
      </c>
    </row>
  </sheetData>
</worksheet>
</file>

<file path=xl/worksheets/sheet7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36" customWidth="1"/>
    <col min="3" max="3" width="8" customWidth="1"/>
    <col min="4" max="4" width="15" customWidth="1"/>
    <col min="5" max="5" width="14" customWidth="1"/>
    <col min="6" max="6" width="38" customWidth="1"/>
    <col min="7" max="7" width="18" customWidth="1"/>
    <col min="8" max="8" width="15" customWidth="1"/>
    <col min="9" max="9" width="52" customWidth="1"/>
  </cols>
  <sheetData>
    <row r="1" ht="22" customHeight="1">
      <c r="A1" t="inlineStr" s="1">
        <is>
          <t>Código</t>
        </is>
      </c>
      <c r="B1" t="inlineStr" s="1">
        <is>
          <t>Nombre de Cuenta</t>
        </is>
      </c>
      <c r="C1" t="inlineStr" s="1">
        <is>
          <t>Nivel</t>
        </is>
      </c>
      <c r="D1" t="inlineStr" s="1">
        <is>
          <t>Estatus IVA SAT</t>
        </is>
      </c>
      <c r="E1" t="inlineStr" s="1">
        <is>
          <t>Naturaleza</t>
        </is>
      </c>
      <c r="F1" t="inlineStr" s="1">
        <is>
          <t>Código y Nombre</t>
        </is>
      </c>
      <c r="G1" t="inlineStr" s="1">
        <is>
          <t>Tipo Contable</t>
        </is>
      </c>
      <c r="H1" t="inlineStr" s="1">
        <is>
          <t>Lookup IVA</t>
        </is>
      </c>
      <c r="I1" t="inlineStr" s="1">
        <is>
          <t>Observaciones / Normativa SAT</t>
        </is>
      </c>
    </row>
    <row r="2">
      <c r="A2" t="inlineStr" s="0">
        <is>
          <t>1000</t>
        </is>
      </c>
      <c r="B2" t="inlineStr" s="0">
        <is>
          <t>ACTIVO</t>
        </is>
      </c>
      <c r="C2" s="0">
        <v>1</v>
      </c>
      <c r="D2" t="inlineStr" s="0">
        <is>
          <t>Exento</t>
        </is>
      </c>
      <c r="E2" t="inlineStr" s="0">
        <is>
          <t>Deudora</t>
        </is>
      </c>
      <c r="F2" t="str" s="0">
        <f>A2&amp;" - "&amp;B2</f>
        <v>1000 - ACTIVO</v>
      </c>
      <c r="G2" t="inlineStr" s="0">
        <is>
          <t>Activo</t>
        </is>
      </c>
      <c r="H2" t="str" s="0">
        <f>D2</f>
        <v>Exento</v>
      </c>
      <c r="I2" t="inlineStr" s="0">
        <is>
          <t>Total de recursos de ALTUS.</t>
        </is>
      </c>
    </row>
    <row r="3">
      <c r="A3" t="inlineStr" s="0">
        <is>
          <t>1100</t>
        </is>
      </c>
      <c r="B3" t="inlineStr" s="0">
        <is>
          <t>Activo Corriente</t>
        </is>
      </c>
      <c r="C3" s="0">
        <v>2</v>
      </c>
      <c r="D3" t="inlineStr" s="0">
        <is>
          <t>Exento</t>
        </is>
      </c>
      <c r="E3" t="inlineStr" s="0">
        <is>
          <t>Deudora</t>
        </is>
      </c>
      <c r="F3" t="str" s="0">
        <f>A3&amp;" - "&amp;B3</f>
        <v>1100 - Activo Corriente</v>
      </c>
      <c r="G3" t="inlineStr" s="0">
        <is>
          <t>Activo</t>
        </is>
      </c>
      <c r="H3" t="str" s="0">
        <f>D3</f>
        <v>Exento</v>
      </c>
      <c r="I3" t="inlineStr" s="0">
        <is>
          <t>Recursos de corto plazo.</t>
        </is>
      </c>
    </row>
    <row r="4">
      <c r="A4" t="inlineStr" s="0">
        <is>
          <t>1101</t>
        </is>
      </c>
      <c r="B4" t="inlineStr" s="0">
        <is>
          <t>Banco Operativo</t>
        </is>
      </c>
      <c r="C4" s="0">
        <v>3</v>
      </c>
      <c r="D4" t="inlineStr" s="0">
        <is>
          <t>Exento</t>
        </is>
      </c>
      <c r="E4" t="inlineStr" s="0">
        <is>
          <t>Deudora</t>
        </is>
      </c>
      <c r="F4" t="str" s="0">
        <f>A4&amp;" - "&amp;B4</f>
        <v>1101 - Banco Operativo</v>
      </c>
      <c r="G4" t="inlineStr" s="0">
        <is>
          <t>Activo</t>
        </is>
      </c>
      <c r="H4" t="str" s="0">
        <f>D4</f>
        <v>Exento</v>
      </c>
      <c r="I4" t="inlineStr" s="0">
        <is>
          <t>Flujo diario (Ingresos y Pagos).</t>
        </is>
      </c>
    </row>
    <row r="5">
      <c r="A5" t="inlineStr" s="0">
        <is>
          <t>1102</t>
        </is>
      </c>
      <c r="B5" t="inlineStr" s="0">
        <is>
          <t>Banco Reservas y Provisiones</t>
        </is>
      </c>
      <c r="C5" s="0">
        <v>3</v>
      </c>
      <c r="D5" t="inlineStr" s="0">
        <is>
          <t>Exento</t>
        </is>
      </c>
      <c r="E5" t="inlineStr" s="0">
        <is>
          <t>Deudora</t>
        </is>
      </c>
      <c r="F5" t="str" s="0">
        <f>A5&amp;" - "&amp;B5</f>
        <v>1102 - Banco Reservas y Provisiones</v>
      </c>
      <c r="G5" t="inlineStr" s="0">
        <is>
          <t>Activo (Ahorro)</t>
        </is>
      </c>
      <c r="H5" t="str" s="0">
        <f>D5</f>
        <v>Exento</v>
      </c>
      <c r="I5" t="inlineStr" s="0">
        <is>
          <t>Cuenta BI Ahorro para reserva exclusiva de IGSS, Bono 14 y Aguinaldo.</t>
        </is>
      </c>
    </row>
    <row r="6">
      <c r="A6" t="inlineStr" s="0">
        <is>
          <t>1103</t>
        </is>
      </c>
      <c r="B6" t="inlineStr" s="0">
        <is>
          <t>Caja Chica</t>
        </is>
      </c>
      <c r="C6" s="0">
        <v>3</v>
      </c>
      <c r="D6" t="inlineStr" s="0">
        <is>
          <t>Exento</t>
        </is>
      </c>
      <c r="E6" t="inlineStr" s="0">
        <is>
          <t>Deudora</t>
        </is>
      </c>
      <c r="F6" t="str" s="0">
        <f>A6&amp;" - "&amp;B6</f>
        <v>1103 - Caja Chica</v>
      </c>
      <c r="G6" t="inlineStr" s="0">
        <is>
          <t>Activo</t>
        </is>
      </c>
      <c r="H6" t="str" s="0">
        <f>D6</f>
        <v>Exento</v>
      </c>
      <c r="I6" t="inlineStr" s="0">
        <is>
          <t>Gastos menores de oficina.</t>
        </is>
      </c>
    </row>
    <row r="7">
      <c r="A7" t="inlineStr" s="0">
        <is>
          <t>1104</t>
        </is>
      </c>
      <c r="B7" t="inlineStr" s="0">
        <is>
          <t>IVA por Cobrar (Crédito Fiscal)</t>
        </is>
      </c>
      <c r="C7" s="0">
        <v>3</v>
      </c>
      <c r="D7" t="inlineStr" s="0">
        <is>
          <t>Afecto</t>
        </is>
      </c>
      <c r="E7" t="inlineStr" s="0">
        <is>
          <t>Deudora</t>
        </is>
      </c>
      <c r="F7" t="str" s="0">
        <f>A7&amp;" - "&amp;B7</f>
        <v>1104 - IVA por Cobrar (Crédito Fiscal)</v>
      </c>
      <c r="G7" t="inlineStr" s="0">
        <is>
          <t>Activo</t>
        </is>
      </c>
      <c r="H7" t="str" s="0">
        <f>D7</f>
        <v>Afecto</v>
      </c>
      <c r="I7" t="inlineStr" s="0">
        <is>
          <t>Solo de compras afectas (Facturas FEL).</t>
        </is>
      </c>
    </row>
    <row r="8">
      <c r="A8" t="inlineStr" s="0">
        <is>
          <t>1105</t>
        </is>
      </c>
      <c r="B8" t="inlineStr" s="0">
        <is>
          <t>Anticipo a proveedores</t>
        </is>
      </c>
      <c r="C8" s="0">
        <v>3</v>
      </c>
      <c r="D8" t="inlineStr" s="0">
        <is>
          <t>Exento</t>
        </is>
      </c>
      <c r="E8" t="inlineStr" s="0">
        <is>
          <t>Deudora</t>
        </is>
      </c>
      <c r="F8" t="str" s="0">
        <f>A8&amp;" - "&amp;B8</f>
        <v>1105 - Anticipo a proveedores</v>
      </c>
      <c r="G8" t="inlineStr" s="0">
        <is>
          <t>Gasto</t>
        </is>
      </c>
      <c r="H8" t="str" s="0">
        <f>D8</f>
        <v>Exento</v>
      </c>
      <c r="I8" t="inlineStr" s="0">
        <is>
          <t>Pagos por adelantado de bienes o servicios</t>
        </is>
      </c>
    </row>
    <row r="9">
      <c r="A9" t="inlineStr" s="0">
        <is>
          <t>1106</t>
        </is>
      </c>
      <c r="B9" t="inlineStr" s="0">
        <is>
          <t>Exención de IVA</t>
        </is>
      </c>
      <c r="C9" s="0">
        <v>3</v>
      </c>
      <c r="D9" t="inlineStr" s="0">
        <is>
          <t>Exento</t>
        </is>
      </c>
      <c r="E9" t="inlineStr" s="0">
        <is>
          <t>Servicio</t>
        </is>
      </c>
      <c r="F9" t="str" s="0">
        <f>A9&amp;" - "&amp;B9</f>
        <v>1106 - Exención de IVA</v>
      </c>
      <c r="G9" t="inlineStr" s="0">
        <is>
          <t>Activo</t>
        </is>
      </c>
      <c r="H9" t="str" s="0">
        <f>D9</f>
        <v>Exento</v>
      </c>
      <c r="I9" t="inlineStr" s="0">
        <is>
          <t>Exenciones de IVA con documento electronico</t>
        </is>
      </c>
    </row>
    <row r="10">
      <c r="A10" t="inlineStr" s="0">
        <is>
          <t>1201</t>
        </is>
      </c>
      <c r="B10" t="inlineStr" s="0">
        <is>
          <t>Cuentas por Cobrar Alumnos</t>
        </is>
      </c>
      <c r="C10" s="0">
        <v>3</v>
      </c>
      <c r="D10" t="inlineStr" s="0">
        <is>
          <t>Exento</t>
        </is>
      </c>
      <c r="E10" t="inlineStr" s="0">
        <is>
          <t>Deudora</t>
        </is>
      </c>
      <c r="F10" t="str" s="0">
        <f>A10&amp;" - "&amp;B10</f>
        <v>1201 - Cuentas por Cobrar Alumnos</v>
      </c>
      <c r="G10" t="inlineStr" s="0">
        <is>
          <t>Activo</t>
        </is>
      </c>
      <c r="H10" t="str" s="0">
        <f>D10</f>
        <v>Exento</v>
      </c>
      <c r="I10" t="inlineStr" s="0">
        <is>
          <t>Control de morosidad por estudiante.</t>
        </is>
      </c>
    </row>
    <row r="11">
      <c r="A11" t="inlineStr" s="0">
        <is>
          <t>1500</t>
        </is>
      </c>
      <c r="B11" t="inlineStr" s="0">
        <is>
          <t>Activo No Corriente</t>
        </is>
      </c>
      <c r="C11" s="0">
        <v>2</v>
      </c>
      <c r="D11" t="inlineStr" s="0">
        <is>
          <t>Exento</t>
        </is>
      </c>
      <c r="E11" t="inlineStr" s="0">
        <is>
          <t>Deudora</t>
        </is>
      </c>
      <c r="F11" t="str" s="0">
        <f>A11&amp;" - "&amp;B11</f>
        <v>1500 - Activo No Corriente</v>
      </c>
      <c r="G11" t="inlineStr" s="0">
        <is>
          <t>Activo</t>
        </is>
      </c>
      <c r="H11" t="str" s="0">
        <f>D11</f>
        <v>Exento</v>
      </c>
      <c r="I11" t="inlineStr" s="0">
        <is>
          <t>Inversiones a largo plazo.</t>
        </is>
      </c>
    </row>
    <row r="12">
      <c r="A12" t="inlineStr" s="0">
        <is>
          <t>1501</t>
        </is>
      </c>
      <c r="B12" t="inlineStr" s="0">
        <is>
          <t>Mobiliario y Equipo</t>
        </is>
      </c>
      <c r="C12" s="0">
        <v>3</v>
      </c>
      <c r="D12" t="inlineStr" s="0">
        <is>
          <t>Afecto</t>
        </is>
      </c>
      <c r="E12" t="inlineStr" s="0">
        <is>
          <t>Deudora</t>
        </is>
      </c>
      <c r="F12" t="str" s="0">
        <f>A12&amp;" - "&amp;B12</f>
        <v>1501 - Mobiliario y Equipo</v>
      </c>
      <c r="G12" t="inlineStr" s="0">
        <is>
          <t>Gasto</t>
        </is>
      </c>
      <c r="H12" t="str" s="0">
        <f>D12</f>
        <v>Afecto</v>
      </c>
      <c r="I12" t="inlineStr" s="0">
        <is>
          <t>Pupitres, pizarrones, computadoras.</t>
        </is>
      </c>
    </row>
    <row r="13">
      <c r="A13" t="inlineStr" s="0">
        <is>
          <t>1502</t>
        </is>
      </c>
      <c r="B13" t="inlineStr" s="0">
        <is>
          <t>Depreciación Acumulada Mobiliario y Equipo</t>
        </is>
      </c>
      <c r="C13" s="0">
        <v>3</v>
      </c>
      <c r="D13" t="inlineStr" s="0">
        <is>
          <t>Exento</t>
        </is>
      </c>
      <c r="E13" t="inlineStr" s="0">
        <is>
          <t>Acreedora</t>
        </is>
      </c>
      <c r="F13" t="str" s="0">
        <f>A13&amp;" - "&amp;B13</f>
        <v>1502 - Depreciación Acumulada Mobiliario y Equipo</v>
      </c>
      <c r="G13" t="inlineStr" s="0">
        <is>
          <t>Activo</t>
        </is>
      </c>
      <c r="H13" t="str" s="0">
        <f>D13</f>
        <v>Exento</v>
      </c>
      <c r="I13" t="inlineStr" s="0">
        <is>
          <t>Desgaste acumulado de activos.</t>
        </is>
      </c>
    </row>
    <row r="14">
      <c r="A14" t="inlineStr" s="0">
        <is>
          <t>2000</t>
        </is>
      </c>
      <c r="B14" t="inlineStr" s="0">
        <is>
          <t>PASIVO</t>
        </is>
      </c>
      <c r="C14" s="0">
        <v>1</v>
      </c>
      <c r="D14" t="inlineStr" s="0">
        <is>
          <t>Exento</t>
        </is>
      </c>
      <c r="E14" t="inlineStr" s="0">
        <is>
          <t>Acreedora</t>
        </is>
      </c>
      <c r="F14" t="str" s="0">
        <f>A14&amp;" - "&amp;B14</f>
        <v>2000 - PASIVO</v>
      </c>
      <c r="G14" t="inlineStr" s="0">
        <is>
          <t>Pasivo</t>
        </is>
      </c>
      <c r="H14" t="str" s="0">
        <f>D14</f>
        <v>Exento</v>
      </c>
      <c r="I14" t="inlineStr" s="0">
        <is>
          <t>Deudas y compromisos de ALTUS.</t>
        </is>
      </c>
    </row>
    <row r="15">
      <c r="A15" t="inlineStr" s="0">
        <is>
          <t>2100</t>
        </is>
      </c>
      <c r="B15" t="inlineStr" s="0">
        <is>
          <t>Pasivo Corriente</t>
        </is>
      </c>
      <c r="C15" s="0">
        <v>2</v>
      </c>
      <c r="D15" t="inlineStr" s="0">
        <is>
          <t>Exento</t>
        </is>
      </c>
      <c r="E15" t="inlineStr" s="0">
        <is>
          <t>Acreedora</t>
        </is>
      </c>
      <c r="F15" t="str" s="0">
        <f>A15&amp;" - "&amp;B15</f>
        <v>2100 - Pasivo Corriente</v>
      </c>
      <c r="G15" t="inlineStr" s="0">
        <is>
          <t>Pasivo</t>
        </is>
      </c>
      <c r="H15" t="str" s="0">
        <f>D15</f>
        <v>Exento</v>
      </c>
      <c r="I15" t="inlineStr" s="0">
        <is>
          <t>Obligaciones a menos de 1 año.</t>
        </is>
      </c>
    </row>
    <row r="16">
      <c r="A16" t="inlineStr" s="0">
        <is>
          <t>2101</t>
        </is>
      </c>
      <c r="B16" t="inlineStr" s="0">
        <is>
          <t>Proveedores Locales</t>
        </is>
      </c>
      <c r="C16" s="0">
        <v>3</v>
      </c>
      <c r="D16" t="inlineStr" s="0">
        <is>
          <t>Afecto</t>
        </is>
      </c>
      <c r="E16" t="inlineStr" s="0">
        <is>
          <t>Acreedora</t>
        </is>
      </c>
      <c r="F16" t="str" s="0">
        <f>A16&amp;" - "&amp;B16</f>
        <v>2101 - Proveedores Locales</v>
      </c>
      <c r="G16" t="inlineStr" s="0">
        <is>
          <t>Gasto</t>
        </is>
      </c>
      <c r="H16" t="str" s="0">
        <f>D16</f>
        <v>Afecto</v>
      </c>
      <c r="I16" t="inlineStr" s="0">
        <is>
          <t>Deudas por compras a crédito.</t>
        </is>
      </c>
    </row>
    <row r="17">
      <c r="A17" t="inlineStr" s="0">
        <is>
          <t>2102</t>
        </is>
      </c>
      <c r="B17" t="inlineStr" s="0">
        <is>
          <t>Provisiones Laborales</t>
        </is>
      </c>
      <c r="C17" s="0">
        <v>3</v>
      </c>
      <c r="D17" t="inlineStr" s="0">
        <is>
          <t>Exento</t>
        </is>
      </c>
      <c r="E17" t="inlineStr" s="0">
        <is>
          <t>Acreedora</t>
        </is>
      </c>
      <c r="F17" t="str" s="0">
        <f>A17&amp;" - "&amp;B17</f>
        <v>2102 - Provisiones Laborales</v>
      </c>
      <c r="G17" t="inlineStr" s="0">
        <is>
          <t>Gasto</t>
        </is>
      </c>
      <c r="H17" t="str" s="0">
        <f>D17</f>
        <v>Exento</v>
      </c>
      <c r="I17" t="inlineStr" s="0">
        <is>
          <t>Fondo acumulado para Bono 14, Aguinaldo e Indemnización (Traslado Monetaria -&gt; Ahorro).</t>
        </is>
      </c>
    </row>
    <row r="18">
      <c r="A18" t="inlineStr" s="0">
        <is>
          <t>2103</t>
        </is>
      </c>
      <c r="B18" t="inlineStr" s="0">
        <is>
          <t>IGSS por Pagar</t>
        </is>
      </c>
      <c r="C18" s="0">
        <v>3</v>
      </c>
      <c r="D18" t="inlineStr" s="0">
        <is>
          <t>Exento</t>
        </is>
      </c>
      <c r="E18" t="inlineStr" s="0">
        <is>
          <t>Acreedora</t>
        </is>
      </c>
      <c r="F18" t="str" s="0">
        <f>A18&amp;" - "&amp;B18</f>
        <v>2103 - IGSS por Pagar</v>
      </c>
      <c r="G18" t="inlineStr" s="0">
        <is>
          <t>Gasto</t>
        </is>
      </c>
      <c r="H18" t="str" s="0">
        <f>D18</f>
        <v>Exento</v>
      </c>
      <c r="I18" t="inlineStr" s="0">
        <is>
          <t>Cuota laboral (4.83%) y patronal (10.67%) IGSS por pagar.</t>
        </is>
      </c>
    </row>
    <row r="19">
      <c r="A19" t="inlineStr" s="0">
        <is>
          <t>2104</t>
        </is>
      </c>
      <c r="B19" t="inlineStr" s="0">
        <is>
          <t>IVA por Pagar (Débito Fiscal)</t>
        </is>
      </c>
      <c r="C19" s="0">
        <v>3</v>
      </c>
      <c r="D19" t="inlineStr" s="0">
        <is>
          <t>Afecto</t>
        </is>
      </c>
      <c r="E19" t="inlineStr" s="0">
        <is>
          <t>Acreedora</t>
        </is>
      </c>
      <c r="F19" t="str" s="0">
        <f>A19&amp;" - "&amp;B19</f>
        <v>2104 - IVA por Pagar (Débito Fiscal)</v>
      </c>
      <c r="G19" t="inlineStr" s="0">
        <is>
          <t>Pasivo</t>
        </is>
      </c>
      <c r="H19" t="str" s="0">
        <f>D19</f>
        <v>Afecto</v>
      </c>
      <c r="I19" t="inlineStr" s="0">
        <is>
          <t>IVA generado por ventas afectas (Uniformes/Bus).</t>
        </is>
      </c>
    </row>
    <row r="20">
      <c r="A20" t="inlineStr" s="0">
        <is>
          <t>2105</t>
        </is>
      </c>
      <c r="B20" t="inlineStr" s="0">
        <is>
          <t>ISR Retenciones por Pagar</t>
        </is>
      </c>
      <c r="C20" s="0">
        <v>3</v>
      </c>
      <c r="D20" t="inlineStr" s="0">
        <is>
          <t>Exento</t>
        </is>
      </c>
      <c r="E20" t="inlineStr" s="0">
        <is>
          <t>Acreedora</t>
        </is>
      </c>
      <c r="F20" t="str" s="0">
        <f>A20&amp;" - "&amp;B20</f>
        <v>2105 - ISR Retenciones por Pagar</v>
      </c>
      <c r="G20" t="inlineStr" s="0">
        <is>
          <t>Gasto</t>
        </is>
      </c>
      <c r="H20" t="str" s="0">
        <f>D20</f>
        <v>Exento</v>
      </c>
      <c r="I20" t="inlineStr" s="0">
        <is>
          <t>ISR retenido a empleados en nómina pendiente de enterar a SAT.</t>
        </is>
      </c>
    </row>
    <row r="21">
      <c r="A21" t="inlineStr" s="0">
        <is>
          <t>2106</t>
        </is>
      </c>
      <c r="B21" t="inlineStr" s="0">
        <is>
          <t>Acreedores por Cuenta Ajena</t>
        </is>
      </c>
      <c r="C21" s="0">
        <v>3</v>
      </c>
      <c r="D21" t="inlineStr" s="0">
        <is>
          <t>Exento</t>
        </is>
      </c>
      <c r="E21" t="inlineStr" s="0">
        <is>
          <t>Acreedora</t>
        </is>
      </c>
      <c r="F21" t="str" s="0">
        <f>A21&amp;" - "&amp;B21</f>
        <v>2106 - Acreedores por Cuenta Ajena</v>
      </c>
      <c r="G21" t="inlineStr" s="0">
        <is>
          <t>Pasivo</t>
        </is>
      </c>
      <c r="H21" t="str" s="0">
        <f>D21</f>
        <v>Exento</v>
      </c>
      <c r="I21" t="inlineStr" s="0">
        <is>
          <t>Fondos recibidos para pago a terceros (Seguros, etc).</t>
        </is>
      </c>
    </row>
    <row r="22">
      <c r="A22" t="inlineStr" s="0">
        <is>
          <t>2107</t>
        </is>
      </c>
      <c r="B22" t="inlineStr" s="0">
        <is>
          <t>Anticipo de inscripciones</t>
        </is>
      </c>
      <c r="C22" s="0">
        <v>3</v>
      </c>
      <c r="D22" t="inlineStr" s="0">
        <is>
          <t>Exento</t>
        </is>
      </c>
      <c r="E22" t="inlineStr" s="0">
        <is>
          <t>Acreedora</t>
        </is>
      </c>
      <c r="F22" t="str" s="0">
        <f>A22&amp;" - "&amp;B22</f>
        <v>2107 - Anticipo de inscripciones</v>
      </c>
      <c r="G22" t="inlineStr" s="0">
        <is>
          <t>Pasivo</t>
        </is>
      </c>
      <c r="H22" t="str" s="0">
        <f>D22</f>
        <v>Exento</v>
      </c>
      <c r="I22" t="inlineStr" s="0">
        <is>
          <t>Pagos recibidos por adelantado para el siguiente año escolar</t>
        </is>
      </c>
    </row>
    <row r="23">
      <c r="A23" t="inlineStr" s="0">
        <is>
          <t>3000</t>
        </is>
      </c>
      <c r="B23" t="inlineStr" s="0">
        <is>
          <t>CAPITAL / PATRIMONIO</t>
        </is>
      </c>
      <c r="C23" s="0">
        <v>1</v>
      </c>
      <c r="D23" t="inlineStr" s="0">
        <is>
          <t>Exento</t>
        </is>
      </c>
      <c r="E23" t="inlineStr" s="0">
        <is>
          <t>Acreedora</t>
        </is>
      </c>
      <c r="F23" t="str" s="0">
        <f>A23&amp;" - "&amp;B23</f>
        <v>3000 - CAPITAL / PATRIMONIO</v>
      </c>
      <c r="G23" t="inlineStr" s="0">
        <is>
          <t>Capital</t>
        </is>
      </c>
      <c r="H23" t="str" s="0">
        <f>D23</f>
        <v>Exento</v>
      </c>
      <c r="I23" t="inlineStr" s="0">
        <is>
          <t>Valor real de la institución.</t>
        </is>
      </c>
    </row>
    <row r="24">
      <c r="A24" t="inlineStr" s="0">
        <is>
          <t>3101</t>
        </is>
      </c>
      <c r="B24" t="inlineStr" s="0">
        <is>
          <t>Capital Social / Inicial</t>
        </is>
      </c>
      <c r="C24" s="0">
        <v>3</v>
      </c>
      <c r="D24" t="inlineStr" s="0">
        <is>
          <t>Exento</t>
        </is>
      </c>
      <c r="E24" t="inlineStr" s="0">
        <is>
          <t>Acreedora</t>
        </is>
      </c>
      <c r="F24" t="str" s="0">
        <f>A24&amp;" - "&amp;B24</f>
        <v>3101 - Capital Social / Inicial</v>
      </c>
      <c r="G24" t="inlineStr" s="0">
        <is>
          <t>Capital</t>
        </is>
      </c>
      <c r="H24" t="str" s="0">
        <f>D24</f>
        <v>Exento</v>
      </c>
      <c r="I24" t="inlineStr" s="0">
        <is>
          <t>Inversión inicial de los socios.</t>
        </is>
      </c>
    </row>
    <row r="25">
      <c r="A25" t="inlineStr" s="0">
        <is>
          <t>3102</t>
        </is>
      </c>
      <c r="B25" t="inlineStr" s="0">
        <is>
          <t>Resultados del Ejercicio</t>
        </is>
      </c>
      <c r="C25" s="0">
        <v>3</v>
      </c>
      <c r="D25" t="inlineStr" s="0">
        <is>
          <t>Exento</t>
        </is>
      </c>
      <c r="E25" t="inlineStr" s="0">
        <is>
          <t>Acreedora</t>
        </is>
      </c>
      <c r="F25" t="str" s="0">
        <f>A25&amp;" - "&amp;B25</f>
        <v>3102 - Resultados del Ejercicio</v>
      </c>
      <c r="G25" t="inlineStr" s="0">
        <is>
          <t>Capital</t>
        </is>
      </c>
      <c r="H25" t="str" s="0">
        <f>D25</f>
        <v>Exento</v>
      </c>
      <c r="I25" t="inlineStr" s="0">
        <is>
          <t>Ganancia o pérdida neta acumulada.</t>
        </is>
      </c>
    </row>
    <row r="26">
      <c r="A26" t="inlineStr" s="0">
        <is>
          <t>4000</t>
        </is>
      </c>
      <c r="B26" t="inlineStr" s="0">
        <is>
          <t>INGRESOS</t>
        </is>
      </c>
      <c r="C26" s="0">
        <v>1</v>
      </c>
      <c r="D26" t="inlineStr" s="0">
        <is>
          <t>Exento</t>
        </is>
      </c>
      <c r="E26" t="inlineStr" s="0">
        <is>
          <t>Acreedora</t>
        </is>
      </c>
      <c r="F26" t="str" s="0">
        <f>A26&amp;" - "&amp;B26</f>
        <v>4000 - INGRESOS</v>
      </c>
      <c r="G26" t="inlineStr" s="0">
        <is>
          <t>Ingreso</t>
        </is>
      </c>
      <c r="H26" t="str" s="0">
        <f>D26</f>
        <v>Exento</v>
      </c>
      <c r="I26" t="inlineStr" s="0">
        <is>
          <t>Fuentes de dinero de la institución.</t>
        </is>
      </c>
    </row>
    <row r="27">
      <c r="A27" t="inlineStr" s="0">
        <is>
          <t>4100</t>
        </is>
      </c>
      <c r="B27" t="inlineStr" s="0">
        <is>
          <t>Ingresos Educativos (Exentos)</t>
        </is>
      </c>
      <c r="C27" s="0">
        <v>2</v>
      </c>
      <c r="D27" t="inlineStr" s="0">
        <is>
          <t>Exento</t>
        </is>
      </c>
      <c r="E27" t="inlineStr" s="0">
        <is>
          <t>Acreedora</t>
        </is>
      </c>
      <c r="F27" t="str" s="0">
        <f>A27&amp;" - "&amp;B27</f>
        <v>4100 - Ingresos Educativos (Exentos)</v>
      </c>
      <c r="G27" t="inlineStr" s="0">
        <is>
          <t>Ingreso</t>
        </is>
      </c>
      <c r="H27" t="str" s="0">
        <f>D27</f>
        <v>Exento</v>
      </c>
      <c r="I27" t="inlineStr" s="0">
        <is>
          <t>No generan IVA (Art. 7 Ley IVA GT).</t>
        </is>
      </c>
    </row>
    <row r="28">
      <c r="A28" t="inlineStr" s="0">
        <is>
          <t>4101</t>
        </is>
      </c>
      <c r="B28" t="inlineStr" s="0">
        <is>
          <t>Inscripciones</t>
        </is>
      </c>
      <c r="C28" s="0">
        <v>3</v>
      </c>
      <c r="D28" t="inlineStr" s="0">
        <is>
          <t>Exento</t>
        </is>
      </c>
      <c r="E28" t="inlineStr" s="0">
        <is>
          <t>Acreedora</t>
        </is>
      </c>
      <c r="F28" t="str" s="0">
        <f>A28&amp;" - "&amp;B28</f>
        <v>4101 - Inscripciones</v>
      </c>
      <c r="G28" t="inlineStr" s="0">
        <is>
          <t>Ingreso</t>
        </is>
      </c>
      <c r="H28" t="str" s="0">
        <f>D28</f>
        <v>Exento</v>
      </c>
      <c r="I28" t="inlineStr" s="0">
        <is>
          <t>Cobro de matrícula anual.</t>
        </is>
      </c>
    </row>
    <row r="29">
      <c r="A29" t="inlineStr" s="0">
        <is>
          <t>4102</t>
        </is>
      </c>
      <c r="B29" t="inlineStr" s="0">
        <is>
          <t>Colegiaturas Mensuales</t>
        </is>
      </c>
      <c r="C29" s="0">
        <v>3</v>
      </c>
      <c r="D29" t="inlineStr" s="0">
        <is>
          <t>Exento</t>
        </is>
      </c>
      <c r="E29" t="inlineStr" s="0">
        <is>
          <t>Acreedora</t>
        </is>
      </c>
      <c r="F29" t="str" s="0">
        <f>A29&amp;" - "&amp;B29</f>
        <v>4102 - Colegiaturas Mensuales</v>
      </c>
      <c r="G29" t="inlineStr" s="0">
        <is>
          <t>Ingreso</t>
        </is>
      </c>
      <c r="H29" t="str" s="0">
        <f>D29</f>
        <v>Exento</v>
      </c>
      <c r="I29" t="inlineStr" s="0">
        <is>
          <t>Ingreso principal recurrente.</t>
        </is>
      </c>
    </row>
    <row r="30">
      <c r="A30" t="inlineStr" s="0">
        <is>
          <t>4103</t>
        </is>
      </c>
      <c r="B30" t="inlineStr" s="0">
        <is>
          <t>(-) Becas y Descuentos</t>
        </is>
      </c>
      <c r="C30" s="0">
        <v>3</v>
      </c>
      <c r="D30" t="inlineStr" s="0">
        <is>
          <t>Exento</t>
        </is>
      </c>
      <c r="E30" t="inlineStr" s="0">
        <is>
          <t>Deudora</t>
        </is>
      </c>
      <c r="F30" t="str" s="0">
        <f>A30&amp;" - "&amp;B30</f>
        <v>4103 - (-) Becas y Descuentos</v>
      </c>
      <c r="G30" t="inlineStr" s="0">
        <is>
          <t>Ingreso</t>
        </is>
      </c>
      <c r="H30" t="str" s="0">
        <f>D30</f>
        <v>Exento</v>
      </c>
      <c r="I30" t="inlineStr" s="0">
        <is>
          <t>Resta del ingreso para medir ayuda financiera.</t>
        </is>
      </c>
    </row>
    <row r="31">
      <c r="A31" t="inlineStr" s="0">
        <is>
          <t>4200</t>
        </is>
      </c>
      <c r="B31" t="inlineStr" s="0">
        <is>
          <t>Ingresos Comerciales (Afectos)</t>
        </is>
      </c>
      <c r="C31" s="0">
        <v>2</v>
      </c>
      <c r="D31" t="inlineStr" s="0">
        <is>
          <t>Exento</t>
        </is>
      </c>
      <c r="E31" t="inlineStr" s="0">
        <is>
          <t>Acreedora</t>
        </is>
      </c>
      <c r="F31" t="str" s="0">
        <f>A31&amp;" - "&amp;B31</f>
        <v>4200 - Ingresos Comerciales (Afectos)</v>
      </c>
      <c r="G31" t="inlineStr" s="0">
        <is>
          <t>Ingreso</t>
        </is>
      </c>
      <c r="H31" t="str" s="0">
        <f>D31</f>
        <v>Exento</v>
      </c>
      <c r="I31" t="inlineStr" s="0">
        <is>
          <t>Servicios con 12% de IVA.</t>
        </is>
      </c>
    </row>
    <row r="32">
      <c r="A32" t="inlineStr" s="0">
        <is>
          <t>4201</t>
        </is>
      </c>
      <c r="B32" t="inlineStr" s="0">
        <is>
          <t>Venta de Libros y Uniformes</t>
        </is>
      </c>
      <c r="C32" s="0">
        <v>3</v>
      </c>
      <c r="D32" t="inlineStr" s="0">
        <is>
          <t>Exento</t>
        </is>
      </c>
      <c r="E32" t="inlineStr" s="0">
        <is>
          <t>Acreedora</t>
        </is>
      </c>
      <c r="F32" t="str" s="0">
        <f>A32&amp;" - "&amp;B32</f>
        <v>4201 - Venta de Libros y Uniformes</v>
      </c>
      <c r="G32" t="inlineStr" s="0">
        <is>
          <t>Ingreso</t>
        </is>
      </c>
      <c r="H32" t="str" s="0">
        <f>D32</f>
        <v>Exento</v>
      </c>
      <c r="I32" t="inlineStr" s="0">
        <is>
          <t>Actividad comercial directa.</t>
        </is>
      </c>
    </row>
    <row r="33">
      <c r="A33" t="inlineStr" s="0">
        <is>
          <t>4202</t>
        </is>
      </c>
      <c r="B33" t="inlineStr" s="0">
        <is>
          <t>Otros Servicios (Eventos/Bus)</t>
        </is>
      </c>
      <c r="C33" s="0">
        <v>3</v>
      </c>
      <c r="D33" t="inlineStr" s="0">
        <is>
          <t>Afecto</t>
        </is>
      </c>
      <c r="E33" t="inlineStr" s="0">
        <is>
          <t>Acreedora</t>
        </is>
      </c>
      <c r="F33" t="str" s="0">
        <f>A33&amp;" - "&amp;B33</f>
        <v>4202 - Otros Servicios (Eventos/Bus)</v>
      </c>
      <c r="G33" t="inlineStr" s="0">
        <is>
          <t>Ingreso</t>
        </is>
      </c>
      <c r="H33" t="str" s="0">
        <f>D33</f>
        <v>Afecto</v>
      </c>
      <c r="I33" t="inlineStr" s="0">
        <is>
          <t>Servicios adicionales facturables.</t>
        </is>
      </c>
    </row>
    <row r="34">
      <c r="A34" t="inlineStr" s="0">
        <is>
          <t>4203</t>
        </is>
      </c>
      <c r="B34" t="inlineStr" s="0">
        <is>
          <t>Donaciones recibidas</t>
        </is>
      </c>
      <c r="C34" s="0">
        <v>3</v>
      </c>
      <c r="D34" t="inlineStr" s="0">
        <is>
          <t>Exento</t>
        </is>
      </c>
      <c r="E34" t="inlineStr" s="0">
        <is>
          <t>Acreedora</t>
        </is>
      </c>
      <c r="F34" t="str" s="0">
        <f>A34&amp;" - "&amp;B34</f>
        <v>4203 - Donaciones recibidas</v>
      </c>
      <c r="G34" t="inlineStr" s="0">
        <is>
          <t>Ingreso</t>
        </is>
      </c>
      <c r="H34" t="str" s="0">
        <f>D34</f>
        <v>Exento</v>
      </c>
      <c r="I34" t="inlineStr" s="0">
        <is>
          <t>Donaciones recibidas para suministros.</t>
        </is>
      </c>
    </row>
    <row r="35">
      <c r="A35" t="inlineStr" s="0">
        <is>
          <t>5000</t>
        </is>
      </c>
      <c r="B35" t="inlineStr" s="0">
        <is>
          <t>GASTOS</t>
        </is>
      </c>
      <c r="C35" s="0">
        <v>1</v>
      </c>
      <c r="D35" t="inlineStr" s="0">
        <is>
          <t>Exento</t>
        </is>
      </c>
      <c r="E35" t="inlineStr" s="0">
        <is>
          <t>Deudora</t>
        </is>
      </c>
      <c r="F35" t="str" s="0">
        <f>A35&amp;" - "&amp;B35</f>
        <v>5000 - GASTOS</v>
      </c>
      <c r="G35" t="inlineStr" s="0">
        <is>
          <t>Gasto</t>
        </is>
      </c>
      <c r="H35" t="str" s="0">
        <f>D35</f>
        <v>Exento</v>
      </c>
      <c r="I35" t="inlineStr" s="0">
        <is>
          <t>Costos de operación y administración.</t>
        </is>
      </c>
    </row>
    <row r="36">
      <c r="A36" t="inlineStr" s="0">
        <is>
          <t>5100</t>
        </is>
      </c>
      <c r="B36" t="inlineStr" s="0">
        <is>
          <t>Gastos de Personal (Planilla)</t>
        </is>
      </c>
      <c r="C36" s="0">
        <v>2</v>
      </c>
      <c r="D36" t="inlineStr" s="0">
        <is>
          <t>Exento</t>
        </is>
      </c>
      <c r="E36" t="inlineStr" s="0">
        <is>
          <t>Deudora</t>
        </is>
      </c>
      <c r="F36" t="str" s="0">
        <f>A36&amp;" - "&amp;B36</f>
        <v>5100 - Gastos de Personal (Planilla)</v>
      </c>
      <c r="G36" t="inlineStr" s="0">
        <is>
          <t>Gasto</t>
        </is>
      </c>
      <c r="H36" t="str" s="0">
        <f>D36</f>
        <v>Exento</v>
      </c>
      <c r="I36" t="inlineStr" s="0">
        <is>
          <t>Inversión en capital humano.</t>
        </is>
      </c>
    </row>
    <row r="37">
      <c r="A37" t="inlineStr" s="0">
        <is>
          <t>5101</t>
        </is>
      </c>
      <c r="B37" t="inlineStr" s="0">
        <is>
          <t>Sueldos y Salarios</t>
        </is>
      </c>
      <c r="C37" s="0">
        <v>3</v>
      </c>
      <c r="D37" t="inlineStr" s="0">
        <is>
          <t>Exento</t>
        </is>
      </c>
      <c r="E37" t="inlineStr" s="0">
        <is>
          <t>Deudora</t>
        </is>
      </c>
      <c r="F37" t="str" s="0">
        <f>A37&amp;" - "&amp;B37</f>
        <v>5101 - Sueldos y Salarios</v>
      </c>
      <c r="G37" t="inlineStr" s="0">
        <is>
          <t>Gasto</t>
        </is>
      </c>
      <c r="H37" t="str" s="0">
        <f>D37</f>
        <v>Exento</v>
      </c>
      <c r="I37" t="inlineStr" s="0">
        <is>
          <t>Pago mensual a maestros y personal.</t>
        </is>
      </c>
    </row>
    <row r="38">
      <c r="A38" t="inlineStr" s="0">
        <is>
          <t>5102</t>
        </is>
      </c>
      <c r="B38" t="inlineStr" s="0">
        <is>
          <t>Cuota Patronal IGSS</t>
        </is>
      </c>
      <c r="C38" s="0">
        <v>3</v>
      </c>
      <c r="D38" t="inlineStr" s="0">
        <is>
          <t>Exento</t>
        </is>
      </c>
      <c r="E38" t="inlineStr" s="0">
        <is>
          <t>Deudora</t>
        </is>
      </c>
      <c r="F38" t="str" s="0">
        <f>A38&amp;" - "&amp;B38</f>
        <v>5102 - Cuota Patronal IGSS</v>
      </c>
      <c r="G38" t="inlineStr" s="0">
        <is>
          <t>Gasto</t>
        </is>
      </c>
      <c r="H38" t="str" s="0">
        <f>D38</f>
        <v>Exento</v>
      </c>
      <c r="I38" t="inlineStr" s="0">
        <is>
          <t>Gasto obligatorio (10.67%).</t>
        </is>
      </c>
    </row>
    <row r="39">
      <c r="A39" t="inlineStr" s="0">
        <is>
          <t>5103</t>
        </is>
      </c>
      <c r="B39" t="inlineStr" s="0">
        <is>
          <t>Prestaciones Laborales</t>
        </is>
      </c>
      <c r="C39" s="0">
        <v>3</v>
      </c>
      <c r="D39" t="inlineStr" s="0">
        <is>
          <t>Exento</t>
        </is>
      </c>
      <c r="E39" t="inlineStr" s="0">
        <is>
          <t>Deudora</t>
        </is>
      </c>
      <c r="F39" t="str" s="0">
        <f>A39&amp;" - "&amp;B39</f>
        <v>5103 - Prestaciones Laborales</v>
      </c>
      <c r="G39" t="inlineStr" s="0">
        <is>
          <t>Gasto</t>
        </is>
      </c>
      <c r="H39" t="str" s="0">
        <f>D39</f>
        <v>Exento</v>
      </c>
      <c r="I39" t="inlineStr" s="0">
        <is>
          <t>Gasto mensual de provisión (Indemnización).</t>
        </is>
      </c>
    </row>
    <row r="40">
      <c r="A40" t="inlineStr" s="0">
        <is>
          <t>5104</t>
        </is>
      </c>
      <c r="B40" t="inlineStr" s="0">
        <is>
          <t>Bono 14</t>
        </is>
      </c>
      <c r="C40" s="0">
        <v>3</v>
      </c>
      <c r="D40" t="inlineStr" s="0">
        <is>
          <t>Exento</t>
        </is>
      </c>
      <c r="E40" t="inlineStr" s="0">
        <is>
          <t>Deudora</t>
        </is>
      </c>
      <c r="F40" t="str" s="0">
        <f>A40&amp;" - "&amp;B40</f>
        <v>5104 - Bono 14</v>
      </c>
      <c r="G40" t="inlineStr" s="0">
        <is>
          <t>Gasto</t>
        </is>
      </c>
      <c r="H40" t="str" s="0">
        <f>D40</f>
        <v>Exento</v>
      </c>
      <c r="I40" t="inlineStr" s="0">
        <is>
          <t>Gasto prestación de ley (Julio).</t>
        </is>
      </c>
    </row>
    <row r="41">
      <c r="A41" t="inlineStr" s="0">
        <is>
          <t>5105</t>
        </is>
      </c>
      <c r="B41" t="inlineStr" s="0">
        <is>
          <t>Aguinaldo</t>
        </is>
      </c>
      <c r="C41" s="0">
        <v>3</v>
      </c>
      <c r="D41" t="inlineStr" s="0">
        <is>
          <t>Exento</t>
        </is>
      </c>
      <c r="E41" t="inlineStr" s="0">
        <is>
          <t>Deudora</t>
        </is>
      </c>
      <c r="F41" t="str" s="0">
        <f>A41&amp;" - "&amp;B41</f>
        <v>5105 - Aguinaldo</v>
      </c>
      <c r="G41" t="inlineStr" s="0">
        <is>
          <t>Gasto</t>
        </is>
      </c>
      <c r="H41" t="str" s="0">
        <f>D41</f>
        <v>Exento</v>
      </c>
      <c r="I41" t="inlineStr" s="0">
        <is>
          <t>Gasto prestación de ley (Diciembre).</t>
        </is>
      </c>
    </row>
    <row r="42">
      <c r="A42" t="inlineStr" s="0">
        <is>
          <t>5200</t>
        </is>
      </c>
      <c r="B42" t="inlineStr" s="0">
        <is>
          <t>Gastos Operativos</t>
        </is>
      </c>
      <c r="C42" s="0">
        <v>2</v>
      </c>
      <c r="D42" t="inlineStr" s="0">
        <is>
          <t>Afecto</t>
        </is>
      </c>
      <c r="E42" t="inlineStr" s="0">
        <is>
          <t>Deudora</t>
        </is>
      </c>
      <c r="F42" t="str" s="0">
        <f>A42&amp;" - "&amp;B42</f>
        <v>5200 - Gastos Operativos</v>
      </c>
      <c r="G42" t="inlineStr" s="0">
        <is>
          <t>Gasto</t>
        </is>
      </c>
      <c r="H42" t="str" s="0">
        <f>D42</f>
        <v>Afecto</v>
      </c>
      <c r="I42" t="inlineStr" s="0">
        <is>
          <t>Mantenimiento y servicios.</t>
        </is>
      </c>
    </row>
    <row r="43">
      <c r="A43" t="inlineStr" s="0">
        <is>
          <t>5201</t>
        </is>
      </c>
      <c r="B43" t="inlineStr" s="0">
        <is>
          <t>Alquiler de Instalaciones</t>
        </is>
      </c>
      <c r="C43" s="0">
        <v>3</v>
      </c>
      <c r="D43" t="inlineStr" s="0">
        <is>
          <t>Afecto</t>
        </is>
      </c>
      <c r="E43" t="inlineStr" s="0">
        <is>
          <t>Deudora</t>
        </is>
      </c>
      <c r="F43" t="str" s="0">
        <f>A43&amp;" - "&amp;B43</f>
        <v>5201 - Alquiler de Instalaciones</v>
      </c>
      <c r="G43" t="inlineStr" s="0">
        <is>
          <t>Gasto</t>
        </is>
      </c>
      <c r="H43" t="str" s="0">
        <f>D43</f>
        <v>Afecto</v>
      </c>
      <c r="I43" t="inlineStr" s="0">
        <is>
          <t>Pago de edificio.</t>
        </is>
      </c>
    </row>
    <row r="44">
      <c r="A44" t="inlineStr" s="0">
        <is>
          <t>5202</t>
        </is>
      </c>
      <c r="B44" t="inlineStr" s="0">
        <is>
          <t>Energía Eléctrica y Agua</t>
        </is>
      </c>
      <c r="C44" s="0">
        <v>3</v>
      </c>
      <c r="D44" t="inlineStr" s="0">
        <is>
          <t>Afecto</t>
        </is>
      </c>
      <c r="E44" t="inlineStr" s="0">
        <is>
          <t>Deudora</t>
        </is>
      </c>
      <c r="F44" t="str" s="0">
        <f>A44&amp;" - "&amp;B44</f>
        <v>5202 - Energía Eléctrica y Agua</v>
      </c>
      <c r="G44" t="inlineStr" s="0">
        <is>
          <t>Gasto</t>
        </is>
      </c>
      <c r="H44" t="str" s="0">
        <f>D44</f>
        <v>Afecto</v>
      </c>
      <c r="I44" t="inlineStr" s="0">
        <is>
          <t>Servicios básicos.</t>
        </is>
      </c>
    </row>
    <row r="45">
      <c r="A45" t="inlineStr" s="0">
        <is>
          <t>5203</t>
        </is>
      </c>
      <c r="B45" t="inlineStr" s="0">
        <is>
          <t>Papelería, útiles y suministros</t>
        </is>
      </c>
      <c r="C45" s="0">
        <v>3</v>
      </c>
      <c r="D45" t="inlineStr" s="0">
        <is>
          <t>Afecto</t>
        </is>
      </c>
      <c r="E45" t="inlineStr" s="0">
        <is>
          <t>Deudora</t>
        </is>
      </c>
      <c r="F45" t="str" s="0">
        <f>A45&amp;" - "&amp;B45</f>
        <v>5203 - Papelería, útiles y suministros</v>
      </c>
      <c r="G45" t="inlineStr" s="0">
        <is>
          <t>Gasto</t>
        </is>
      </c>
      <c r="H45" t="str" s="0">
        <f>D45</f>
        <v>Afecto</v>
      </c>
      <c r="I45" t="inlineStr" s="0">
        <is>
          <t>Consumibles para las clases.</t>
        </is>
      </c>
    </row>
    <row r="46">
      <c r="A46" t="inlineStr" s="0">
        <is>
          <t>5204</t>
        </is>
      </c>
      <c r="B46" t="inlineStr" s="0">
        <is>
          <t>Marketing y Publicidad</t>
        </is>
      </c>
      <c r="C46" s="0">
        <v>3</v>
      </c>
      <c r="D46" t="inlineStr" s="0">
        <is>
          <t>Afecto</t>
        </is>
      </c>
      <c r="E46" t="inlineStr" s="0">
        <is>
          <t>Deudora</t>
        </is>
      </c>
      <c r="F46" t="str" s="0">
        <f>A46&amp;" - "&amp;B46</f>
        <v>5204 - Marketing y Publicidad</v>
      </c>
      <c r="G46" t="inlineStr" s="0">
        <is>
          <t>Gasto</t>
        </is>
      </c>
      <c r="H46" t="str" s="0">
        <f>D46</f>
        <v>Afecto</v>
      </c>
      <c r="I46" t="inlineStr" s="0">
        <is>
          <t>Gastos de captación de alumnos.</t>
        </is>
      </c>
    </row>
    <row r="47">
      <c r="A47" t="inlineStr" s="0">
        <is>
          <t>5205</t>
        </is>
      </c>
      <c r="B47" t="inlineStr" s="0">
        <is>
          <t>Actividades y excursiones</t>
        </is>
      </c>
      <c r="C47" s="0">
        <v>3</v>
      </c>
      <c r="D47" t="inlineStr" s="0">
        <is>
          <t>Afecto</t>
        </is>
      </c>
      <c r="E47" t="inlineStr" s="0">
        <is>
          <t>Deudora</t>
        </is>
      </c>
      <c r="F47" t="str" s="0">
        <f>A47&amp;" - "&amp;B47</f>
        <v>5205 - Actividades y excursiones</v>
      </c>
      <c r="G47" t="inlineStr" s="0">
        <is>
          <t>Gasto</t>
        </is>
      </c>
      <c r="H47" t="str" s="0">
        <f>D47</f>
        <v>Afecto</v>
      </c>
      <c r="I47" t="inlineStr" s="0">
        <is>
          <t>Actividades realizadas por el colegio.</t>
        </is>
      </c>
    </row>
    <row r="48">
      <c r="A48" t="inlineStr" s="0">
        <is>
          <t>5206</t>
        </is>
      </c>
      <c r="B48" t="inlineStr" s="0">
        <is>
          <t>Depreciaciones del Periodo</t>
        </is>
      </c>
      <c r="C48" s="0">
        <v>3</v>
      </c>
      <c r="D48" t="inlineStr" s="0">
        <is>
          <t>Exento</t>
        </is>
      </c>
      <c r="E48" t="inlineStr" s="0">
        <is>
          <t>Deudora</t>
        </is>
      </c>
      <c r="F48" t="str" s="0">
        <f>A48&amp;" - "&amp;B48</f>
        <v>5206 - Depreciaciones del Periodo</v>
      </c>
      <c r="G48" t="inlineStr" s="0">
        <is>
          <t>Gasto</t>
        </is>
      </c>
      <c r="H48" t="str" s="0">
        <f>D48</f>
        <v>Exento</v>
      </c>
      <c r="I48" t="inlineStr" s="0">
        <is>
          <t>Gasto por desgaste de activos.</t>
        </is>
      </c>
    </row>
    <row r="49">
      <c r="A49" t="inlineStr" s="0">
        <is>
          <t>5207</t>
        </is>
      </c>
      <c r="B49" t="inlineStr" s="0">
        <is>
          <t>Otros Gastos (No Deducibles)</t>
        </is>
      </c>
      <c r="C49" s="0">
        <v>3</v>
      </c>
      <c r="D49" t="inlineStr" s="0">
        <is>
          <t>Exento</t>
        </is>
      </c>
      <c r="E49" t="inlineStr" s="0">
        <is>
          <t>Deudora</t>
        </is>
      </c>
      <c r="F49" t="str" s="0">
        <f>A49&amp;" - "&amp;B49</f>
        <v>5207 - Otros Gastos (No Deducibles)</v>
      </c>
      <c r="G49" t="inlineStr" s="0">
        <is>
          <t>Gasto</t>
        </is>
      </c>
      <c r="H49" t="str" s="0">
        <f>D49</f>
        <v>Exento</v>
      </c>
      <c r="I49" t="inlineStr" s="0">
        <is>
          <t>Gastos sin factura FEL o no relacionados al giro.</t>
        </is>
      </c>
    </row>
    <row r="50">
      <c r="A50" t="inlineStr" s="0">
        <is>
          <t>5208</t>
        </is>
      </c>
      <c r="B50" t="inlineStr" s="0">
        <is>
          <t>Donaciones</t>
        </is>
      </c>
      <c r="C50" s="0">
        <v>3</v>
      </c>
      <c r="D50" t="inlineStr" s="0">
        <is>
          <t>Afecto</t>
        </is>
      </c>
      <c r="E50" t="inlineStr" s="0">
        <is>
          <t>Deudora</t>
        </is>
      </c>
      <c r="F50" t="str" s="0">
        <f>A50&amp;" - "&amp;B50</f>
        <v>5208 - Donaciones</v>
      </c>
      <c r="G50" t="inlineStr" s="0">
        <is>
          <t>Gasto</t>
        </is>
      </c>
      <c r="H50" t="str" s="0">
        <f>D50</f>
        <v>Afecto</v>
      </c>
      <c r="I50" t="inlineStr" s="0">
        <is>
          <t>Donaciones realizadas a otras instituciones.</t>
        </is>
      </c>
    </row>
    <row r="51">
      <c r="A51" t="inlineStr" s="0">
        <is>
          <t>5209</t>
        </is>
      </c>
      <c r="B51" t="inlineStr" s="0">
        <is>
          <t>Honorarios profesionales</t>
        </is>
      </c>
      <c r="C51" s="0">
        <v>3</v>
      </c>
      <c r="D51" t="inlineStr" s="0">
        <is>
          <t>Afecto</t>
        </is>
      </c>
      <c r="E51" t="inlineStr" s="0">
        <is>
          <t>Deudora</t>
        </is>
      </c>
      <c r="F51" t="str" s="0">
        <f>A51&amp;" - "&amp;B51</f>
        <v>5209 - Honorarios profesionales</v>
      </c>
      <c r="G51" t="inlineStr" s="0">
        <is>
          <t>Gasto</t>
        </is>
      </c>
      <c r="H51" t="str" s="0">
        <f>D51</f>
        <v>Afecto</v>
      </c>
      <c r="I51" t="inlineStr" s="0">
        <is>
          <t>Servicios técnicos y profesionales</t>
        </is>
      </c>
    </row>
    <row r="52">
      <c r="A52" t="inlineStr" s="0">
        <is>
          <t>5210</t>
        </is>
      </c>
      <c r="B52" t="inlineStr" s="0">
        <is>
          <t>Impuestos, tasas y arbitrios</t>
        </is>
      </c>
      <c r="C52" s="0">
        <v>3</v>
      </c>
      <c r="D52" t="inlineStr" s="0">
        <is>
          <t>Exento</t>
        </is>
      </c>
      <c r="E52" t="inlineStr" s="0">
        <is>
          <t>Deudora</t>
        </is>
      </c>
      <c r="F52" t="str" s="0">
        <f>A52&amp;" - "&amp;B52</f>
        <v>5210 - Impuestos, tasas y arbitrios</v>
      </c>
      <c r="G52" t="inlineStr" s="0">
        <is>
          <t>Gasto</t>
        </is>
      </c>
      <c r="H52" t="str" s="0">
        <f>D52</f>
        <v>Exento</v>
      </c>
      <c r="I52" t="inlineStr" s="0">
        <is>
          <t>Pagos a entidades gubernamentales (MARN/IUSI/Timbres)</t>
        </is>
      </c>
    </row>
    <row r="53">
      <c r="A53" t="inlineStr" s="0">
        <is>
          <t>5211</t>
        </is>
      </c>
      <c r="B53" t="inlineStr" s="0">
        <is>
          <t>Compras para reventa</t>
        </is>
      </c>
      <c r="C53" s="0">
        <v>3</v>
      </c>
      <c r="D53" t="inlineStr" s="0">
        <is>
          <t>Afecto</t>
        </is>
      </c>
      <c r="E53" t="inlineStr" s="0">
        <is>
          <t>Deudora</t>
        </is>
      </c>
      <c r="F53" t="str" s="0">
        <f>A53&amp;" - "&amp;B53</f>
        <v>5211 - Compras para reventa</v>
      </c>
      <c r="G53" t="inlineStr" s="0">
        <is>
          <t>Gasto</t>
        </is>
      </c>
      <c r="H53" t="str" s="0">
        <f>D53</f>
        <v>Afecto</v>
      </c>
      <c r="I53" t="inlineStr" s="0">
        <is>
          <t>Compras como intermediarios para vender a las familias sin beneficio</t>
        </is>
      </c>
    </row>
    <row r="54">
      <c r="A54" t="inlineStr" s="0">
        <is>
          <t>5212</t>
        </is>
      </c>
      <c r="B54" t="inlineStr" s="0">
        <is>
          <t>Telecomunicaciones e internet</t>
        </is>
      </c>
      <c r="C54" s="0">
        <v>3</v>
      </c>
      <c r="D54" t="inlineStr" s="0">
        <is>
          <t>Afecto</t>
        </is>
      </c>
      <c r="E54" t="inlineStr" s="0">
        <is>
          <t>Deudora</t>
        </is>
      </c>
      <c r="F54" t="str" s="0">
        <f>A54&amp;" - "&amp;B54</f>
        <v>5212 - Telecomunicaciones e internet</v>
      </c>
      <c r="G54" t="inlineStr" s="0">
        <is>
          <t>Gasto</t>
        </is>
      </c>
      <c r="H54" t="str" s="0">
        <f>D54</f>
        <v>Afecto</v>
      </c>
      <c r="I54" t="inlineStr" s="0">
        <is>
          <t>Servicios de telefonia movil, y planes de datos</t>
        </is>
      </c>
    </row>
    <row r="55">
      <c r="A55" t="inlineStr" s="0">
        <is>
          <t>9000</t>
        </is>
      </c>
      <c r="B55" t="inlineStr" s="0">
        <is>
          <t>CONTROL</t>
        </is>
      </c>
      <c r="C55" s="0">
        <v>1</v>
      </c>
      <c r="D55" t="inlineStr" s="0">
        <is>
          <t>Exento</t>
        </is>
      </c>
      <c r="E55" t="inlineStr" s="0">
        <is>
          <t>Deudora</t>
        </is>
      </c>
      <c r="F55" t="str" s="0">
        <f>A55&amp;" - "&amp;B55</f>
        <v>9000 - CONTROL</v>
      </c>
      <c r="G55" t="inlineStr" s="0">
        <is>
          <t>Control</t>
        </is>
      </c>
      <c r="H55" t="str" s="0">
        <f>D55</f>
        <v>Exento</v>
      </c>
      <c r="I55" t="inlineStr" s="0">
        <is>
          <t>Cuentas de seguridad del sistema.</t>
        </is>
      </c>
    </row>
    <row r="56">
      <c r="A56" t="inlineStr" s="0">
        <is>
          <t>9999</t>
        </is>
      </c>
      <c r="B56" t="inlineStr" s="0">
        <is>
          <t>Cuenta Puente (Ajustes)</t>
        </is>
      </c>
      <c r="C56" s="0">
        <v>3</v>
      </c>
      <c r="D56" t="inlineStr" s="0">
        <is>
          <t>Exento</t>
        </is>
      </c>
      <c r="E56" t="inlineStr" s="0">
        <is>
          <t>Mixta</t>
        </is>
      </c>
      <c r="F56" t="str" s="0">
        <f>A56&amp;" - "&amp;B56</f>
        <v>9999 - Cuenta Puente (Ajustes)</v>
      </c>
      <c r="G56" t="inlineStr" s="0">
        <is>
          <t>Control</t>
        </is>
      </c>
      <c r="H56" t="str" s="0">
        <f>D56</f>
        <v>Exento</v>
      </c>
      <c r="I56" t="inlineStr" s="0">
        <is>
          <t>Para transacciones no clasificadas aún.</t>
        </is>
      </c>
    </row>
  </sheetData>
</worksheet>
</file>